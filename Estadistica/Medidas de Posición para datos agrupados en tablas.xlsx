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aarias/Library/Mobile Documents/com~apple~CloudDocs/2025/TUA/Excel Alumnos/"/>
    </mc:Choice>
  </mc:AlternateContent>
  <xr:revisionPtr revIDLastSave="0" documentId="8_{C27D56B4-78CA-DE4F-8A86-5A9347F8040C}" xr6:coauthVersionLast="47" xr6:coauthVersionMax="47" xr10:uidLastSave="{00000000-0000-0000-0000-000000000000}"/>
  <bookViews>
    <workbookView xWindow="780" yWindow="1000" windowWidth="27640" windowHeight="15220" xr2:uid="{50B23DB9-8798-374A-9F92-4127F082F9B4}"/>
  </bookViews>
  <sheets>
    <sheet name="MTC-Ejemplo 1 " sheetId="1" r:id="rId1"/>
    <sheet name="MTC-Ejemplo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2" l="1"/>
  <c r="E24" i="2" s="1"/>
  <c r="G23" i="2"/>
  <c r="E23" i="2" s="1"/>
  <c r="G22" i="2"/>
  <c r="E22" i="2"/>
  <c r="G21" i="2"/>
  <c r="E21" i="2"/>
  <c r="H16" i="2"/>
  <c r="E16" i="2"/>
  <c r="G15" i="2"/>
  <c r="G12" i="2"/>
  <c r="F12" i="2"/>
  <c r="F11" i="2"/>
  <c r="G11" i="2" s="1"/>
  <c r="G10" i="2"/>
  <c r="F10" i="2"/>
  <c r="F9" i="2"/>
  <c r="G9" i="2" s="1"/>
  <c r="G8" i="2"/>
  <c r="F8" i="2"/>
  <c r="F7" i="2"/>
  <c r="G7" i="2" s="1"/>
  <c r="G13" i="2" s="1"/>
  <c r="E15" i="2" s="1"/>
  <c r="G24" i="1"/>
  <c r="G23" i="1"/>
  <c r="G22" i="1"/>
  <c r="G17" i="1"/>
  <c r="G14" i="1"/>
  <c r="E16" i="1" s="1"/>
  <c r="G13" i="1"/>
  <c r="G12" i="1"/>
  <c r="G11" i="1"/>
  <c r="G10" i="1"/>
</calcChain>
</file>

<file path=xl/sharedStrings.xml><?xml version="1.0" encoding="utf-8"?>
<sst xmlns="http://schemas.openxmlformats.org/spreadsheetml/2006/main" count="46" uniqueCount="33">
  <si>
    <t>X: Cantidad de empleados</t>
  </si>
  <si>
    <t>fi</t>
  </si>
  <si>
    <t>F</t>
  </si>
  <si>
    <t>x*fi</t>
  </si>
  <si>
    <t>Total</t>
  </si>
  <si>
    <t>Medidas de Tendencia Central</t>
  </si>
  <si>
    <t>Media (promedio)</t>
  </si>
  <si>
    <t>Mediana</t>
  </si>
  <si>
    <t xml:space="preserve">Posición de la Mediana </t>
  </si>
  <si>
    <t>Moda</t>
  </si>
  <si>
    <t xml:space="preserve">Medidas de Tendencia No central </t>
  </si>
  <si>
    <t>Q1( cuartil 1)</t>
  </si>
  <si>
    <t>posición Q1</t>
  </si>
  <si>
    <t>Q3 (cuartil 3)</t>
  </si>
  <si>
    <t>posición Q3</t>
  </si>
  <si>
    <t>P40(percentil 40)</t>
  </si>
  <si>
    <t>Posición P40</t>
  </si>
  <si>
    <t>li</t>
  </si>
  <si>
    <t>ls</t>
  </si>
  <si>
    <t>Ingresos</t>
  </si>
  <si>
    <t>x*(Punto Medio)</t>
  </si>
  <si>
    <t>x*.f</t>
  </si>
  <si>
    <t xml:space="preserve">F </t>
  </si>
  <si>
    <t>[120-134)</t>
  </si>
  <si>
    <t>[134-148)</t>
  </si>
  <si>
    <t>[148-162)</t>
  </si>
  <si>
    <t>[162-176)</t>
  </si>
  <si>
    <t>[176-190)</t>
  </si>
  <si>
    <t>[190-204)</t>
  </si>
  <si>
    <t>Medidas de Tendencia central</t>
  </si>
  <si>
    <t>amplitud</t>
  </si>
  <si>
    <t>P80(percentil 80)</t>
  </si>
  <si>
    <t>Posición P80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</si>
</sst>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0" xfId="0" applyFont="1" applyFill="1"/>
    <xf numFmtId="0" fontId="1" fillId="3" borderId="1" xfId="0" applyFont="1" applyFill="1" applyBorder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ustomXml" Target="../ink/ink1.xml"/><Relationship Id="rId66" Type="http://schemas.openxmlformats.org/officeDocument/2006/relationships/image" Target="../media/image120.png"/></Relationships>
</file>

<file path=xl/drawings/_rels/drawing2.xml.rels><?xml version="1.0" encoding="UTF-8" standalone="yes"?>
<Relationships xmlns="http://schemas.openxmlformats.org/package/2006/relationships"><Relationship Id="rId146" Type="http://schemas.openxmlformats.org/officeDocument/2006/relationships/image" Target="../media/image200.png"/><Relationship Id="rId1" Type="http://schemas.openxmlformats.org/officeDocument/2006/relationships/customXml" Target="../ink/ink2.xml"/><Relationship Id="rId147" Type="http://schemas.openxmlformats.org/officeDocument/2006/relationships/customXml" Target="../ink/ink3.xml"/><Relationship Id="rId202" Type="http://schemas.openxmlformats.org/officeDocument/2006/relationships/image" Target="../media/image2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482600</xdr:colOff>
      <xdr:row>4</xdr:row>
      <xdr:rowOff>317500</xdr:rowOff>
    </xdr:from>
    <xdr:to>
      <xdr:col>11</xdr:col>
      <xdr:colOff>711200</xdr:colOff>
      <xdr:row>6</xdr:row>
      <xdr:rowOff>266700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7D255F2-C2EB-0443-855E-69F06268AB0B}"/>
            </a:ext>
          </a:extLst>
        </xdr:cNvPr>
        <xdr:cNvSpPr txBox="1"/>
      </xdr:nvSpPr>
      <xdr:spPr>
        <a:xfrm>
          <a:off x="2133600" y="1689100"/>
          <a:ext cx="12306300" cy="63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400" b="1"/>
            <a:t>Medidas de Posición-</a:t>
          </a:r>
          <a:r>
            <a:rPr lang="es-MX" sz="2400" b="1" baseline="0"/>
            <a:t> Datos  Discretos Agrupados en tablas de frecuencias</a:t>
          </a:r>
          <a:endParaRPr lang="es-MX" sz="2400" b="1"/>
        </a:p>
      </xdr:txBody>
    </xdr:sp>
    <xdr:clientData/>
  </xdr:twoCellAnchor>
  <xdr:twoCellAnchor editAs="oneCell">
    <xdr:from>
      <xdr:col>1</xdr:col>
      <xdr:colOff>348820</xdr:colOff>
      <xdr:row>13</xdr:row>
      <xdr:rowOff>80820</xdr:rowOff>
    </xdr:from>
    <xdr:to>
      <xdr:col>1</xdr:col>
      <xdr:colOff>355300</xdr:colOff>
      <xdr:row>13</xdr:row>
      <xdr:rowOff>82260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F391D5CE-9B0C-8C40-B7C4-98A8F66B8D1C}"/>
                </a:ext>
              </a:extLst>
            </xdr14:cNvPr>
            <xdr14:cNvContentPartPr/>
          </xdr14:nvContentPartPr>
          <xdr14:nvPr macro=""/>
          <xdr14:xfrm>
            <a:off x="1174320" y="4538520"/>
            <a:ext cx="6480" cy="1440"/>
          </xdr14:xfrm>
        </xdr:contentPart>
      </mc:Choice>
      <mc:Fallback xmlns="">
        <xdr:pic>
          <xdr:nvPicPr>
            <xdr:cNvPr id="227" name="Entrada de lápiz 226">
              <a:extLst>
                <a:ext uri="{FF2B5EF4-FFF2-40B4-BE49-F238E27FC236}">
                  <a16:creationId xmlns:a16="http://schemas.microsoft.com/office/drawing/2014/main" id="{7E480B9B-939E-F7A4-0FEF-BE82C6B11FCD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1159200" y="4523400"/>
              <a:ext cx="36720" cy="32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11</xdr:col>
      <xdr:colOff>139700</xdr:colOff>
      <xdr:row>3</xdr:row>
      <xdr:rowOff>292100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509F060-21A7-114E-A1E1-9476390CDF11}"/>
            </a:ext>
          </a:extLst>
        </xdr:cNvPr>
        <xdr:cNvSpPr txBox="1"/>
      </xdr:nvSpPr>
      <xdr:spPr>
        <a:xfrm>
          <a:off x="1651000" y="685800"/>
          <a:ext cx="10604500" cy="63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400" b="1"/>
            <a:t>Medidas de Posición-</a:t>
          </a:r>
          <a:r>
            <a:rPr lang="es-MX" sz="2400" b="1" baseline="0"/>
            <a:t> Datos  Agrupados en intervalos de Clases</a:t>
          </a:r>
          <a:endParaRPr lang="es-MX" sz="2400" b="1"/>
        </a:p>
      </xdr:txBody>
    </xdr:sp>
    <xdr:clientData/>
  </xdr:twoCellAnchor>
  <xdr:twoCellAnchor editAs="oneCell">
    <xdr:from>
      <xdr:col>2</xdr:col>
      <xdr:colOff>167720</xdr:colOff>
      <xdr:row>12</xdr:row>
      <xdr:rowOff>240120</xdr:rowOff>
    </xdr:from>
    <xdr:to>
      <xdr:col>2</xdr:col>
      <xdr:colOff>171680</xdr:colOff>
      <xdr:row>12</xdr:row>
      <xdr:rowOff>252360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93984C95-814D-4247-97B9-89910392AECA}"/>
                </a:ext>
              </a:extLst>
            </xdr14:cNvPr>
            <xdr14:cNvContentPartPr/>
          </xdr14:nvContentPartPr>
          <xdr14:nvPr macro=""/>
          <xdr14:xfrm>
            <a:off x="1818720" y="4354920"/>
            <a:ext cx="3960" cy="12240"/>
          </xdr14:xfrm>
        </xdr:contentPart>
      </mc:Choice>
      <mc:Fallback xmlns="">
        <xdr:pic>
          <xdr:nvPicPr>
            <xdr:cNvPr id="403" name="Entrada de lápiz 402">
              <a:extLst>
                <a:ext uri="{FF2B5EF4-FFF2-40B4-BE49-F238E27FC236}">
                  <a16:creationId xmlns:a16="http://schemas.microsoft.com/office/drawing/2014/main" id="{67131F8D-C025-961C-52D3-A81ED652CF2C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1803600" y="4339440"/>
              <a:ext cx="34560" cy="4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381920</xdr:colOff>
      <xdr:row>8</xdr:row>
      <xdr:rowOff>207360</xdr:rowOff>
    </xdr:from>
    <xdr:to>
      <xdr:col>4</xdr:col>
      <xdr:colOff>382280</xdr:colOff>
      <xdr:row>8</xdr:row>
      <xdr:rowOff>240120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4" name="Entrada de lápiz 3">
              <a:extLst>
                <a:ext uri="{FF2B5EF4-FFF2-40B4-BE49-F238E27FC236}">
                  <a16:creationId xmlns:a16="http://schemas.microsoft.com/office/drawing/2014/main" id="{A312DC20-2647-5A4F-8053-B4B43FD669D9}"/>
                </a:ext>
              </a:extLst>
            </xdr14:cNvPr>
            <xdr14:cNvContentPartPr/>
          </xdr14:nvContentPartPr>
          <xdr14:nvPr macro=""/>
          <xdr14:xfrm>
            <a:off x="4776120" y="2950560"/>
            <a:ext cx="360" cy="32760"/>
          </xdr14:xfrm>
        </xdr:contentPart>
      </mc:Choice>
      <mc:Fallback xmlns="">
        <xdr:pic>
          <xdr:nvPicPr>
            <xdr:cNvPr id="474" name="Entrada de lápiz 473">
              <a:extLst>
                <a:ext uri="{FF2B5EF4-FFF2-40B4-BE49-F238E27FC236}">
                  <a16:creationId xmlns:a16="http://schemas.microsoft.com/office/drawing/2014/main" id="{F22ECC0B-B0E9-0A34-A009-2A413957E8FE}"/>
                </a:ext>
              </a:extLst>
            </xdr:cNvPr>
            <xdr:cNvPicPr/>
          </xdr:nvPicPr>
          <xdr:blipFill>
            <a:blip xmlns:r="http://schemas.openxmlformats.org/officeDocument/2006/relationships" r:embed="rId202"/>
            <a:stretch>
              <a:fillRect/>
            </a:stretch>
          </xdr:blipFill>
          <xdr:spPr>
            <a:xfrm>
              <a:off x="4760640" y="2935440"/>
              <a:ext cx="30960" cy="63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7T20:28:11.595"/>
    </inkml:context>
    <inkml:brush xml:id="br0">
      <inkml:brushProperty name="width" value="0.08571" units="cm"/>
      <inkml:brushProperty name="height" value="0.08571" units="cm"/>
      <inkml:brushProperty name="color" value="#5B2D90"/>
    </inkml:brush>
  </inkml:definitions>
  <inkml:trace contextRef="#ctx0" brushRef="#br0">1197 4475 16042,'-10'-2'0,"3"1"0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7T20:28:11.632"/>
    </inkml:context>
    <inkml:brush xml:id="br0">
      <inkml:brushProperty name="width" value="0.08571" units="cm"/>
      <inkml:brushProperty name="height" value="0.08571" units="cm"/>
      <inkml:brushProperty name="color" value="#004F8B"/>
    </inkml:brush>
  </inkml:definitions>
  <inkml:trace contextRef="#ctx0" brushRef="#br0">0 34 15594,'6'-15'649,"-2"3"-649,-4 12-1703,0 0-593,0-3 1100,0 2 1,0-2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7T20:28:11.633"/>
    </inkml:context>
    <inkml:brush xml:id="br0">
      <inkml:brushProperty name="width" value="0.08571" units="cm"/>
      <inkml:brushProperty name="height" value="0.08571" units="cm"/>
      <inkml:brushProperty name="color" value="#004F8B"/>
    </inkml:brush>
  </inkml:definitions>
  <inkml:trace contextRef="#ctx0" brushRef="#br0">0 21 9185,'0'-11'1546,"0"2"-1400,0 9 626,0 0-536,0 13 358,0-1-370,0 8-34,0-5-134,0-8 347,0 4-245,0-8 771,0 4-469,0-7-1689,0 2 0,0-2 1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F1184-E6F4-6B40-A099-93AB02CC7B57}">
  <dimension ref="A9:I24"/>
  <sheetViews>
    <sheetView tabSelected="1" topLeftCell="A5" workbookViewId="0">
      <selection activeCell="I20" sqref="I20"/>
    </sheetView>
  </sheetViews>
  <sheetFormatPr baseColWidth="10" defaultRowHeight="27" x14ac:dyDescent="0.35"/>
  <cols>
    <col min="1" max="3" width="10.83203125" style="1"/>
    <col min="4" max="4" width="37.33203125" style="1" bestFit="1" customWidth="1"/>
    <col min="5" max="5" width="23" style="1" customWidth="1"/>
    <col min="6" max="6" width="33.1640625" style="1" bestFit="1" customWidth="1"/>
    <col min="7" max="16384" width="10.83203125" style="1"/>
  </cols>
  <sheetData>
    <row r="9" spans="1:7" x14ac:dyDescent="0.35">
      <c r="D9" s="2" t="s">
        <v>0</v>
      </c>
      <c r="E9" s="2" t="s">
        <v>1</v>
      </c>
      <c r="F9" s="2" t="s">
        <v>2</v>
      </c>
      <c r="G9" s="2" t="s">
        <v>3</v>
      </c>
    </row>
    <row r="10" spans="1:7" x14ac:dyDescent="0.35">
      <c r="D10" s="3">
        <v>8</v>
      </c>
      <c r="E10" s="3">
        <v>7</v>
      </c>
      <c r="F10" s="3">
        <v>7</v>
      </c>
      <c r="G10" s="3">
        <f>D10*E10</f>
        <v>56</v>
      </c>
    </row>
    <row r="11" spans="1:7" x14ac:dyDescent="0.35">
      <c r="D11" s="3">
        <v>12</v>
      </c>
      <c r="E11" s="3">
        <v>4</v>
      </c>
      <c r="F11" s="3">
        <v>11</v>
      </c>
      <c r="G11" s="3">
        <f>D11*E11</f>
        <v>48</v>
      </c>
    </row>
    <row r="12" spans="1:7" x14ac:dyDescent="0.35">
      <c r="D12" s="3">
        <v>14</v>
      </c>
      <c r="E12" s="3">
        <v>5</v>
      </c>
      <c r="F12" s="3">
        <v>16</v>
      </c>
      <c r="G12" s="3">
        <f t="shared" ref="G12" si="0">D12*E12</f>
        <v>70</v>
      </c>
    </row>
    <row r="13" spans="1:7" x14ac:dyDescent="0.35">
      <c r="D13" s="3">
        <v>16</v>
      </c>
      <c r="E13" s="3">
        <v>4</v>
      </c>
      <c r="F13" s="3">
        <v>20</v>
      </c>
      <c r="G13" s="3">
        <f>D13*E13</f>
        <v>64</v>
      </c>
    </row>
    <row r="14" spans="1:7" x14ac:dyDescent="0.35">
      <c r="D14" s="3" t="s">
        <v>4</v>
      </c>
      <c r="E14" s="3">
        <v>20</v>
      </c>
      <c r="F14" s="3"/>
      <c r="G14" s="3">
        <f>SUM(G10:G13)</f>
        <v>238</v>
      </c>
    </row>
    <row r="15" spans="1:7" x14ac:dyDescent="0.35">
      <c r="A15" s="4" t="s">
        <v>5</v>
      </c>
      <c r="B15" s="4"/>
      <c r="C15" s="4"/>
      <c r="D15" s="4"/>
    </row>
    <row r="16" spans="1:7" x14ac:dyDescent="0.35">
      <c r="D16" s="5" t="s">
        <v>6</v>
      </c>
      <c r="E16" s="6">
        <f>G14/E14</f>
        <v>11.9</v>
      </c>
    </row>
    <row r="17" spans="1:9" x14ac:dyDescent="0.35">
      <c r="D17" s="5" t="s">
        <v>7</v>
      </c>
      <c r="E17" s="6">
        <v>12</v>
      </c>
      <c r="F17" s="5" t="s">
        <v>8</v>
      </c>
      <c r="G17" s="5">
        <f>E14/2</f>
        <v>10</v>
      </c>
      <c r="H17" s="5"/>
      <c r="I17" s="6"/>
    </row>
    <row r="18" spans="1:9" x14ac:dyDescent="0.35">
      <c r="D18" s="5" t="s">
        <v>9</v>
      </c>
      <c r="E18" s="6">
        <v>8</v>
      </c>
    </row>
    <row r="20" spans="1:9" x14ac:dyDescent="0.35">
      <c r="A20" s="4" t="s">
        <v>10</v>
      </c>
    </row>
    <row r="22" spans="1:9" x14ac:dyDescent="0.35">
      <c r="D22" s="5" t="s">
        <v>11</v>
      </c>
      <c r="E22" s="6">
        <v>8</v>
      </c>
      <c r="F22" s="5" t="s">
        <v>12</v>
      </c>
      <c r="G22" s="6">
        <f>0.25*E14</f>
        <v>5</v>
      </c>
    </row>
    <row r="23" spans="1:9" x14ac:dyDescent="0.35">
      <c r="D23" s="5" t="s">
        <v>13</v>
      </c>
      <c r="E23" s="6">
        <v>14</v>
      </c>
      <c r="F23" s="5" t="s">
        <v>14</v>
      </c>
      <c r="G23" s="6">
        <f>0.75*E14</f>
        <v>15</v>
      </c>
    </row>
    <row r="24" spans="1:9" x14ac:dyDescent="0.35">
      <c r="D24" s="5" t="s">
        <v>15</v>
      </c>
      <c r="E24" s="6">
        <v>12</v>
      </c>
      <c r="F24" s="5" t="s">
        <v>16</v>
      </c>
      <c r="G24" s="6">
        <f>0.4*E14</f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63050-D707-B445-AFA6-8B983FED6F55}">
  <dimension ref="A6:H24"/>
  <sheetViews>
    <sheetView topLeftCell="A4" workbookViewId="0">
      <selection activeCell="I20" sqref="I20"/>
    </sheetView>
  </sheetViews>
  <sheetFormatPr baseColWidth="10" defaultRowHeight="27" x14ac:dyDescent="0.35"/>
  <cols>
    <col min="1" max="3" width="10.83203125" style="1"/>
    <col min="4" max="4" width="25.1640625" style="1" bestFit="1" customWidth="1"/>
    <col min="5" max="5" width="15" style="7" customWidth="1"/>
    <col min="6" max="6" width="23.33203125" style="7" bestFit="1" customWidth="1"/>
    <col min="7" max="7" width="10.83203125" style="1"/>
    <col min="8" max="8" width="19.6640625" style="1" customWidth="1"/>
    <col min="9" max="16384" width="10.83203125" style="1"/>
  </cols>
  <sheetData>
    <row r="6" spans="1:8" x14ac:dyDescent="0.35">
      <c r="B6" s="5" t="s">
        <v>17</v>
      </c>
      <c r="C6" s="5" t="s">
        <v>18</v>
      </c>
      <c r="D6" s="2" t="s">
        <v>19</v>
      </c>
      <c r="E6" s="2" t="s">
        <v>1</v>
      </c>
      <c r="F6" s="2" t="s">
        <v>20</v>
      </c>
      <c r="G6" s="5" t="s">
        <v>21</v>
      </c>
      <c r="H6" s="2" t="s">
        <v>22</v>
      </c>
    </row>
    <row r="7" spans="1:8" x14ac:dyDescent="0.35">
      <c r="B7" s="6">
        <v>120</v>
      </c>
      <c r="C7" s="6">
        <v>134</v>
      </c>
      <c r="D7" s="2" t="s">
        <v>23</v>
      </c>
      <c r="E7" s="3">
        <v>1</v>
      </c>
      <c r="F7" s="3">
        <f>(C7+B7)/2</f>
        <v>127</v>
      </c>
      <c r="G7" s="6">
        <f>F7*E7</f>
        <v>127</v>
      </c>
      <c r="H7" s="3">
        <v>1</v>
      </c>
    </row>
    <row r="8" spans="1:8" x14ac:dyDescent="0.35">
      <c r="B8" s="6">
        <v>134</v>
      </c>
      <c r="C8" s="6">
        <v>148</v>
      </c>
      <c r="D8" s="2" t="s">
        <v>24</v>
      </c>
      <c r="E8" s="3">
        <v>3</v>
      </c>
      <c r="F8" s="3">
        <f>(C8+B8)/2</f>
        <v>141</v>
      </c>
      <c r="G8" s="6">
        <f>F8*E8</f>
        <v>423</v>
      </c>
      <c r="H8" s="3">
        <v>4</v>
      </c>
    </row>
    <row r="9" spans="1:8" x14ac:dyDescent="0.35">
      <c r="B9" s="6">
        <v>148</v>
      </c>
      <c r="C9" s="6">
        <v>162</v>
      </c>
      <c r="D9" s="2" t="s">
        <v>25</v>
      </c>
      <c r="E9" s="3">
        <v>4</v>
      </c>
      <c r="F9" s="3">
        <f t="shared" ref="F9:F12" si="0">(C9+B9)/2</f>
        <v>155</v>
      </c>
      <c r="G9" s="6">
        <f t="shared" ref="G9:G12" si="1">F9*E9</f>
        <v>620</v>
      </c>
      <c r="H9" s="3">
        <v>8</v>
      </c>
    </row>
    <row r="10" spans="1:8" x14ac:dyDescent="0.35">
      <c r="B10" s="6">
        <v>162</v>
      </c>
      <c r="C10" s="6">
        <v>176</v>
      </c>
      <c r="D10" s="2" t="s">
        <v>26</v>
      </c>
      <c r="E10" s="3">
        <v>6</v>
      </c>
      <c r="F10" s="3">
        <f t="shared" si="0"/>
        <v>169</v>
      </c>
      <c r="G10" s="6">
        <f t="shared" si="1"/>
        <v>1014</v>
      </c>
      <c r="H10" s="3">
        <v>14</v>
      </c>
    </row>
    <row r="11" spans="1:8" x14ac:dyDescent="0.35">
      <c r="B11" s="6">
        <v>176</v>
      </c>
      <c r="C11" s="6">
        <v>190</v>
      </c>
      <c r="D11" s="2" t="s">
        <v>27</v>
      </c>
      <c r="E11" s="3">
        <v>4</v>
      </c>
      <c r="F11" s="3">
        <f t="shared" si="0"/>
        <v>183</v>
      </c>
      <c r="G11" s="6">
        <f t="shared" si="1"/>
        <v>732</v>
      </c>
      <c r="H11" s="3">
        <v>18</v>
      </c>
    </row>
    <row r="12" spans="1:8" x14ac:dyDescent="0.35">
      <c r="B12" s="6">
        <v>190</v>
      </c>
      <c r="C12" s="6">
        <v>204</v>
      </c>
      <c r="D12" s="2" t="s">
        <v>28</v>
      </c>
      <c r="E12" s="3">
        <v>2</v>
      </c>
      <c r="F12" s="3">
        <f t="shared" si="0"/>
        <v>197</v>
      </c>
      <c r="G12" s="6">
        <f t="shared" si="1"/>
        <v>394</v>
      </c>
      <c r="H12" s="3">
        <v>20</v>
      </c>
    </row>
    <row r="13" spans="1:8" x14ac:dyDescent="0.35">
      <c r="D13" s="6" t="s">
        <v>4</v>
      </c>
      <c r="E13" s="3">
        <v>20</v>
      </c>
      <c r="F13" s="3"/>
      <c r="G13" s="6">
        <f>SUM(G7:G12)</f>
        <v>3310</v>
      </c>
      <c r="H13" s="3"/>
    </row>
    <row r="14" spans="1:8" x14ac:dyDescent="0.35">
      <c r="A14" s="4" t="s">
        <v>29</v>
      </c>
      <c r="B14" s="4"/>
      <c r="C14" s="4"/>
      <c r="D14" s="4"/>
    </row>
    <row r="15" spans="1:8" x14ac:dyDescent="0.35">
      <c r="D15" s="5" t="s">
        <v>6</v>
      </c>
      <c r="E15" s="6">
        <f>G13/E13</f>
        <v>165.5</v>
      </c>
      <c r="F15" s="5" t="s">
        <v>30</v>
      </c>
      <c r="G15" s="6">
        <f>C7-B7</f>
        <v>14</v>
      </c>
    </row>
    <row r="16" spans="1:8" x14ac:dyDescent="0.35">
      <c r="D16" s="5" t="s">
        <v>7</v>
      </c>
      <c r="E16" s="6">
        <f>B10+((H16-H9)/E10)*G15</f>
        <v>166.66666666666666</v>
      </c>
      <c r="F16" s="5" t="s">
        <v>8</v>
      </c>
      <c r="G16" s="5"/>
      <c r="H16" s="8">
        <f>E13/2</f>
        <v>10</v>
      </c>
    </row>
    <row r="17" spans="1:7" x14ac:dyDescent="0.35">
      <c r="D17" s="5" t="s">
        <v>9</v>
      </c>
      <c r="E17" s="6">
        <v>169</v>
      </c>
      <c r="F17" s="1"/>
    </row>
    <row r="19" spans="1:7" x14ac:dyDescent="0.35">
      <c r="A19" s="4" t="s">
        <v>10</v>
      </c>
      <c r="E19" s="1"/>
      <c r="F19" s="1"/>
    </row>
    <row r="20" spans="1:7" x14ac:dyDescent="0.35">
      <c r="E20" s="1"/>
      <c r="F20" s="1"/>
    </row>
    <row r="21" spans="1:7" x14ac:dyDescent="0.35">
      <c r="D21" s="5" t="s">
        <v>11</v>
      </c>
      <c r="E21" s="6">
        <f>B9+((G21-H8)/4)*G15</f>
        <v>151.5</v>
      </c>
      <c r="F21" s="5" t="s">
        <v>12</v>
      </c>
      <c r="G21" s="6">
        <f>(1/4)*E13</f>
        <v>5</v>
      </c>
    </row>
    <row r="22" spans="1:7" x14ac:dyDescent="0.35">
      <c r="D22" s="5" t="s">
        <v>13</v>
      </c>
      <c r="E22" s="6">
        <f>B11+((G22-H10)/E11)*G15</f>
        <v>179.5</v>
      </c>
      <c r="F22" s="5" t="s">
        <v>14</v>
      </c>
      <c r="G22" s="6">
        <f>(3/4)*E13</f>
        <v>15</v>
      </c>
    </row>
    <row r="23" spans="1:7" x14ac:dyDescent="0.35">
      <c r="D23" s="5" t="s">
        <v>15</v>
      </c>
      <c r="E23" s="6">
        <f>B9+((G23-H8)/E9)*G15</f>
        <v>162</v>
      </c>
      <c r="F23" s="5" t="s">
        <v>16</v>
      </c>
      <c r="G23" s="6">
        <f>0.4*E13</f>
        <v>8</v>
      </c>
    </row>
    <row r="24" spans="1:7" x14ac:dyDescent="0.35">
      <c r="D24" s="5" t="s">
        <v>31</v>
      </c>
      <c r="E24" s="6">
        <f>B11+((G24-H10)/E11)*G15</f>
        <v>183</v>
      </c>
      <c r="F24" s="5" t="s">
        <v>32</v>
      </c>
      <c r="G24" s="6">
        <f>(80/100)*E13</f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MTC-Ejemplo 1 </vt:lpstr>
      <vt:lpstr>MTC-Ejemplo2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Vasconi</dc:creator>
  <cp:lastModifiedBy>Nicolás Vasconi</cp:lastModifiedBy>
  <dcterms:created xsi:type="dcterms:W3CDTF">2025-03-17T20:28:11Z</dcterms:created>
  <dcterms:modified xsi:type="dcterms:W3CDTF">2025-03-17T20:28:44Z</dcterms:modified>
</cp:coreProperties>
</file>