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arias/Library/Mobile Documents/com~apple~CloudDocs/2026/UTN TUGA/"/>
    </mc:Choice>
  </mc:AlternateContent>
  <xr:revisionPtr revIDLastSave="0" documentId="8_{7F44659A-B7C9-724E-AF52-BB251AB34386}" xr6:coauthVersionLast="47" xr6:coauthVersionMax="47" xr10:uidLastSave="{00000000-0000-0000-0000-000000000000}"/>
  <bookViews>
    <workbookView xWindow="780" yWindow="1000" windowWidth="27640" windowHeight="15220" xr2:uid="{A8A42E6B-E1C0-E54E-9B6C-123F8DC012E0}"/>
  </bookViews>
  <sheets>
    <sheet name="Ejemplo 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2" i="1"/>
  <c r="F12" i="1" l="1"/>
  <c r="F13" i="1" s="1"/>
  <c r="F14" i="1" s="1"/>
  <c r="F15" i="1" s="1"/>
  <c r="C16" i="1"/>
  <c r="D14" i="1" s="1"/>
  <c r="E14" i="1" s="1"/>
  <c r="D13" i="1" l="1"/>
  <c r="E13" i="1" s="1"/>
  <c r="G13" i="1" s="1"/>
  <c r="G14" i="1" s="1"/>
  <c r="G15" i="1" s="1"/>
  <c r="D15" i="1"/>
  <c r="E15" i="1" s="1"/>
  <c r="D12" i="1"/>
  <c r="D16" i="1" l="1"/>
  <c r="E12" i="1"/>
  <c r="E16" i="1" s="1"/>
</calcChain>
</file>

<file path=xl/sharedStrings.xml><?xml version="1.0" encoding="utf-8"?>
<sst xmlns="http://schemas.openxmlformats.org/spreadsheetml/2006/main" count="91" uniqueCount="11">
  <si>
    <t>Administrativo</t>
  </si>
  <si>
    <t>Directivo</t>
  </si>
  <si>
    <t>Operativo</t>
  </si>
  <si>
    <t>Técnico</t>
  </si>
  <si>
    <t>X: Puesto Laboral</t>
  </si>
  <si>
    <r>
      <t>Frecuencia absoluta (</t>
    </r>
    <r>
      <rPr>
        <sz val="16"/>
        <color theme="1"/>
        <rFont val="Cambria Math"/>
        <family val="1"/>
      </rPr>
      <t>fi</t>
    </r>
    <r>
      <rPr>
        <b/>
        <sz val="16"/>
        <color theme="1"/>
        <rFont val="Calibri"/>
        <family val="2"/>
      </rPr>
      <t>)</t>
    </r>
  </si>
  <si>
    <r>
      <t>Frecuencia relativa (</t>
    </r>
    <r>
      <rPr>
        <sz val="16"/>
        <color theme="1"/>
        <rFont val="Cambria Math"/>
        <family val="1"/>
      </rPr>
      <t>fr</t>
    </r>
    <r>
      <rPr>
        <b/>
        <sz val="16"/>
        <color theme="1"/>
        <rFont val="Calibri"/>
        <family val="2"/>
      </rPr>
      <t>)</t>
    </r>
  </si>
  <si>
    <r>
      <t>Frecuencia porcentual(</t>
    </r>
    <r>
      <rPr>
        <sz val="16"/>
        <color theme="1"/>
        <rFont val="Cambria Math"/>
        <family val="1"/>
      </rPr>
      <t>fp)</t>
    </r>
  </si>
  <si>
    <r>
      <t>Frecuencia acumulada (</t>
    </r>
    <r>
      <rPr>
        <sz val="16"/>
        <color theme="1"/>
        <rFont val="Cambria Math"/>
        <family val="1"/>
      </rPr>
      <t>F</t>
    </r>
    <r>
      <rPr>
        <b/>
        <sz val="16"/>
        <color theme="1"/>
        <rFont val="Calibri"/>
        <family val="2"/>
      </rPr>
      <t>)</t>
    </r>
  </si>
  <si>
    <t>Frecuencia acumulada F%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</si>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</sst>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6"/>
      <color theme="1"/>
      <name val="Cambria Math"/>
      <family val="1"/>
    </font>
    <font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0" fontId="0" fillId="2" borderId="1" xfId="0" applyFill="1" applyBorder="1"/>
    <xf numFmtId="0" fontId="2" fillId="2" borderId="0" xfId="0" applyFont="1" applyFill="1"/>
    <xf numFmtId="0" fontId="3" fillId="3" borderId="2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justify" vertical="center" wrapText="1" readingOrder="1"/>
    </xf>
    <xf numFmtId="0" fontId="3" fillId="3" borderId="4" xfId="0" applyFont="1" applyFill="1" applyBorder="1" applyAlignment="1">
      <alignment horizontal="justify" vertical="center" wrapText="1" readingOrder="1"/>
    </xf>
    <xf numFmtId="0" fontId="3" fillId="3" borderId="2" xfId="0" applyFont="1" applyFill="1" applyBorder="1" applyAlignment="1">
      <alignment horizontal="justify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6" xfId="1" applyNumberFormat="1" applyFont="1" applyFill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/>
    </xf>
    <xf numFmtId="0" fontId="3" fillId="3" borderId="8" xfId="0" applyFont="1" applyFill="1" applyBorder="1" applyAlignment="1">
      <alignment horizontal="justify" vertical="center" wrapText="1" readingOrder="1"/>
    </xf>
    <xf numFmtId="0" fontId="3" fillId="3" borderId="9" xfId="0" applyFont="1" applyFill="1" applyBorder="1" applyAlignment="1">
      <alignment horizontal="justify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justify" vertical="center" wrapText="1" readingOrder="1"/>
    </xf>
    <xf numFmtId="0" fontId="4" fillId="2" borderId="11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AA5-A64A-978B-D4C32FF297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AA5-A64A-978B-D4C32FF297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AA5-A64A-978B-D4C32FF297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AA5-A64A-978B-D4C32FF2975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'Ejemplo 1'!$B$12:$B$15</c:f>
              <c:strCache>
                <c:ptCount val="4"/>
                <c:pt idx="0">
                  <c:v>Administrativo</c:v>
                </c:pt>
                <c:pt idx="1">
                  <c:v>Operativo</c:v>
                </c:pt>
                <c:pt idx="2">
                  <c:v>Técnico</c:v>
                </c:pt>
                <c:pt idx="3">
                  <c:v>Directivo</c:v>
                </c:pt>
              </c:strCache>
            </c:strRef>
          </c:cat>
          <c:val>
            <c:numRef>
              <c:f>'Ejemplo 1'!$E$12:$E$15</c:f>
              <c:numCache>
                <c:formatCode>General</c:formatCode>
                <c:ptCount val="4"/>
                <c:pt idx="0">
                  <c:v>20</c:v>
                </c:pt>
                <c:pt idx="1">
                  <c:v>32.5</c:v>
                </c:pt>
                <c:pt idx="2">
                  <c:v>35</c:v>
                </c:pt>
                <c:pt idx="3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A5-A64A-978B-D4C32FF2975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241300</xdr:colOff>
      <xdr:row>1</xdr:row>
      <xdr:rowOff>76200</xdr:rowOff>
    </xdr:from>
    <xdr:to>
      <xdr:col>11</xdr:col>
      <xdr:colOff>101600</xdr:colOff>
      <xdr:row>6</xdr:row>
      <xdr:rowOff>25400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F3B1E58-DC9E-3749-9815-105FAF65C317}"/>
            </a:ext>
          </a:extLst>
        </xdr:cNvPr>
        <xdr:cNvSpPr txBox="1"/>
      </xdr:nvSpPr>
      <xdr:spPr>
        <a:xfrm>
          <a:off x="1066800" y="279400"/>
          <a:ext cx="11023600" cy="13462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800"/>
            <a:t>Se</a:t>
          </a:r>
          <a:r>
            <a:rPr lang="es-AR" sz="1800" baseline="0"/>
            <a:t> tomo una muestra de 80 empleados y  se le consultó  cuál era su cargo dentro de la institución</a:t>
          </a:r>
          <a:endParaRPr lang="es-AR" sz="1800"/>
        </a:p>
        <a:p>
          <a:r>
            <a:rPr lang="es-ES_tradnl" sz="1800"/>
            <a:t>Variable:</a:t>
          </a:r>
          <a:r>
            <a:rPr lang="es-ES_tradnl" sz="1800" baseline="0"/>
            <a:t>  </a:t>
          </a:r>
        </a:p>
        <a:p>
          <a:r>
            <a:rPr lang="es-ES_tradnl" sz="1800" baseline="0"/>
            <a:t>Clasificación</a:t>
          </a:r>
          <a:endParaRPr lang="es-ES_tradnl" sz="1800"/>
        </a:p>
      </xdr:txBody>
    </xdr:sp>
    <xdr:clientData/>
  </xdr:twoCellAnchor>
  <xdr:twoCellAnchor>
    <xdr:from>
      <xdr:col>1</xdr:col>
      <xdr:colOff>387350</xdr:colOff>
      <xdr:row>18</xdr:row>
      <xdr:rowOff>44450</xdr:rowOff>
    </xdr:from>
    <xdr:to>
      <xdr:col>6</xdr:col>
      <xdr:colOff>558800</xdr:colOff>
      <xdr:row>37</xdr:row>
      <xdr:rowOff>50800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72CA48-A26A-C245-A056-26C611A8D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tnEstadistica/TUA/Clase%201-Unidad%201%20-marzo%202026.xlsx" TargetMode="External"/><Relationship Id="rId2" Type="http://schemas.openxmlformats.org/officeDocument/2006/relationships/externalLinkPath" Target="/Users/danielaarias/Library/Mobile%20Documents/com~apple~CloudDocs/2026/utnEstadistica/TUA/Clase%201-Unidad%201%20-marzo%202026.xlsx" TargetMode="External"/><Relationship Id="rId1" Type="http://schemas.openxmlformats.org/officeDocument/2006/relationships/externalLinkPath" Target="/Users/danielaarias/Library/Mobile%20Documents/com~apple~CloudDocs/2026/utnEstadistica/TUA/Clase%201-Unidad%201%20-marz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jemplo 1"/>
      <sheetName val="Ejemplo 2"/>
      <sheetName val="Ejemplo 3"/>
    </sheetNames>
    <sheetDataSet>
      <sheetData sheetId="0">
        <row r="12">
          <cell r="B12" t="str">
            <v>Administrativo</v>
          </cell>
          <cell r="E12">
            <v>20</v>
          </cell>
        </row>
        <row r="13">
          <cell r="B13" t="str">
            <v>Operativo</v>
          </cell>
          <cell r="E13">
            <v>32.5</v>
          </cell>
        </row>
        <row r="14">
          <cell r="B14" t="str">
            <v>Técnico</v>
          </cell>
          <cell r="E14">
            <v>35</v>
          </cell>
        </row>
        <row r="15">
          <cell r="B15" t="str">
            <v>Directivo</v>
          </cell>
          <cell r="E15">
            <v>12.5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0C83-090D-5A49-85F4-5E6599568713}">
  <dimension ref="B2:W17"/>
  <sheetViews>
    <sheetView tabSelected="1" workbookViewId="0">
      <selection activeCell="D16" sqref="D16:D17"/>
    </sheetView>
  </sheetViews>
  <sheetFormatPr baseColWidth="10" defaultRowHeight="16" x14ac:dyDescent="0.2"/>
  <cols>
    <col min="1" max="1" width="10.83203125" style="1"/>
    <col min="2" max="2" width="18.33203125" style="1" bestFit="1" customWidth="1"/>
    <col min="3" max="3" width="14" style="1" customWidth="1"/>
    <col min="4" max="4" width="20.1640625" style="1" customWidth="1"/>
    <col min="5" max="5" width="18.5" style="1" customWidth="1"/>
    <col min="6" max="6" width="16.5" style="1" customWidth="1"/>
    <col min="7" max="7" width="15.6640625" style="1" customWidth="1"/>
    <col min="8" max="12" width="10.83203125" style="1"/>
    <col min="13" max="14" width="21.83203125" style="1" bestFit="1" customWidth="1"/>
    <col min="15" max="18" width="24.6640625" style="1" bestFit="1" customWidth="1"/>
    <col min="19" max="21" width="18.5" style="1" bestFit="1" customWidth="1"/>
    <col min="22" max="22" width="14.1640625" style="1" bestFit="1" customWidth="1"/>
    <col min="23" max="16384" width="10.83203125" style="1"/>
  </cols>
  <sheetData>
    <row r="2" spans="2:23" ht="22" x14ac:dyDescent="0.3">
      <c r="M2" s="2" t="s">
        <v>0</v>
      </c>
      <c r="N2" s="2" t="s">
        <v>0</v>
      </c>
      <c r="O2" s="2" t="s">
        <v>1</v>
      </c>
      <c r="P2" s="2" t="s">
        <v>2</v>
      </c>
      <c r="Q2" s="2" t="s">
        <v>2</v>
      </c>
      <c r="R2" s="2" t="s">
        <v>2</v>
      </c>
      <c r="S2" s="2" t="s">
        <v>3</v>
      </c>
      <c r="T2" s="2" t="s">
        <v>3</v>
      </c>
      <c r="U2" s="2" t="s">
        <v>3</v>
      </c>
      <c r="V2" s="2" t="s">
        <v>3</v>
      </c>
      <c r="W2" s="3"/>
    </row>
    <row r="3" spans="2:23" ht="22" x14ac:dyDescent="0.3">
      <c r="M3" s="2" t="s">
        <v>0</v>
      </c>
      <c r="N3" s="2" t="s">
        <v>0</v>
      </c>
      <c r="O3" s="2" t="s">
        <v>1</v>
      </c>
      <c r="P3" s="2" t="s">
        <v>2</v>
      </c>
      <c r="Q3" s="2" t="s">
        <v>2</v>
      </c>
      <c r="R3" s="2" t="s">
        <v>2</v>
      </c>
      <c r="S3" s="2" t="s">
        <v>3</v>
      </c>
      <c r="T3" s="2" t="s">
        <v>3</v>
      </c>
      <c r="U3" s="2" t="s">
        <v>3</v>
      </c>
      <c r="V3" s="2" t="s">
        <v>1</v>
      </c>
      <c r="W3" s="3"/>
    </row>
    <row r="4" spans="2:23" ht="22" x14ac:dyDescent="0.3">
      <c r="M4" s="2" t="s">
        <v>0</v>
      </c>
      <c r="N4" s="2" t="s">
        <v>0</v>
      </c>
      <c r="O4" s="2" t="s">
        <v>1</v>
      </c>
      <c r="P4" s="2" t="s">
        <v>2</v>
      </c>
      <c r="Q4" s="2" t="s">
        <v>2</v>
      </c>
      <c r="R4" s="2" t="s">
        <v>2</v>
      </c>
      <c r="S4" s="2" t="s">
        <v>3</v>
      </c>
      <c r="T4" s="2" t="s">
        <v>3</v>
      </c>
      <c r="U4" s="2" t="s">
        <v>3</v>
      </c>
      <c r="V4" s="2" t="s">
        <v>1</v>
      </c>
      <c r="W4" s="3"/>
    </row>
    <row r="5" spans="2:23" ht="22" x14ac:dyDescent="0.3">
      <c r="M5" s="2" t="s">
        <v>0</v>
      </c>
      <c r="N5" s="2" t="s">
        <v>0</v>
      </c>
      <c r="O5" s="2" t="s">
        <v>2</v>
      </c>
      <c r="P5" s="2" t="s">
        <v>2</v>
      </c>
      <c r="Q5" s="2" t="s">
        <v>2</v>
      </c>
      <c r="R5" s="2" t="s">
        <v>2</v>
      </c>
      <c r="S5" s="2" t="s">
        <v>3</v>
      </c>
      <c r="T5" s="2" t="s">
        <v>3</v>
      </c>
      <c r="U5" s="2" t="s">
        <v>3</v>
      </c>
      <c r="V5" s="2" t="s">
        <v>1</v>
      </c>
      <c r="W5" s="3"/>
    </row>
    <row r="6" spans="2:23" ht="22" x14ac:dyDescent="0.3">
      <c r="M6" s="2" t="s">
        <v>0</v>
      </c>
      <c r="N6" s="2" t="s">
        <v>0</v>
      </c>
      <c r="O6" s="2" t="s">
        <v>2</v>
      </c>
      <c r="P6" s="2" t="s">
        <v>2</v>
      </c>
      <c r="Q6" s="2" t="s">
        <v>2</v>
      </c>
      <c r="R6" s="2" t="s">
        <v>2</v>
      </c>
      <c r="S6" s="2" t="s">
        <v>3</v>
      </c>
      <c r="T6" s="2" t="s">
        <v>3</v>
      </c>
      <c r="U6" s="2" t="s">
        <v>3</v>
      </c>
      <c r="V6" s="2" t="s">
        <v>1</v>
      </c>
      <c r="W6" s="3"/>
    </row>
    <row r="7" spans="2:23" ht="22" x14ac:dyDescent="0.3">
      <c r="M7" s="2" t="s">
        <v>0</v>
      </c>
      <c r="N7" s="2" t="s">
        <v>0</v>
      </c>
      <c r="O7" s="2" t="s">
        <v>2</v>
      </c>
      <c r="P7" s="2" t="s">
        <v>2</v>
      </c>
      <c r="Q7" s="2" t="s">
        <v>2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1</v>
      </c>
      <c r="W7" s="3"/>
    </row>
    <row r="8" spans="2:23" ht="22" x14ac:dyDescent="0.3">
      <c r="M8" s="2" t="s">
        <v>0</v>
      </c>
      <c r="N8" s="2" t="s">
        <v>0</v>
      </c>
      <c r="O8" s="2" t="s">
        <v>2</v>
      </c>
      <c r="P8" s="2" t="s">
        <v>2</v>
      </c>
      <c r="Q8" s="2" t="s">
        <v>2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1</v>
      </c>
      <c r="W8" s="3"/>
    </row>
    <row r="9" spans="2:23" ht="22" x14ac:dyDescent="0.3">
      <c r="M9" s="2" t="s">
        <v>0</v>
      </c>
      <c r="N9" s="2" t="s">
        <v>0</v>
      </c>
      <c r="O9" s="2" t="s">
        <v>2</v>
      </c>
      <c r="P9" s="2" t="s">
        <v>2</v>
      </c>
      <c r="Q9" s="2" t="s">
        <v>2</v>
      </c>
      <c r="R9" s="2" t="s">
        <v>3</v>
      </c>
      <c r="S9" s="2" t="s">
        <v>3</v>
      </c>
      <c r="T9" s="2" t="s">
        <v>3</v>
      </c>
      <c r="U9" s="2" t="s">
        <v>3</v>
      </c>
      <c r="V9" s="2" t="s">
        <v>1</v>
      </c>
      <c r="W9" s="3"/>
    </row>
    <row r="10" spans="2:23" ht="23" thickBot="1" x14ac:dyDescent="0.35"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2:23" ht="67" thickBot="1" x14ac:dyDescent="0.25">
      <c r="B11" s="5" t="s">
        <v>4</v>
      </c>
      <c r="C11" s="6" t="s">
        <v>5</v>
      </c>
      <c r="D11" s="7" t="s">
        <v>6</v>
      </c>
      <c r="E11" s="7" t="s">
        <v>7</v>
      </c>
      <c r="F11" s="7" t="s">
        <v>8</v>
      </c>
      <c r="G11" s="6" t="s">
        <v>9</v>
      </c>
    </row>
    <row r="12" spans="2:23" ht="39" customHeight="1" thickBot="1" x14ac:dyDescent="0.35">
      <c r="B12" s="8" t="s">
        <v>0</v>
      </c>
      <c r="C12" s="9">
        <f>COUNTIF($M$2:$V$9,"Administrativo")</f>
        <v>16</v>
      </c>
      <c r="D12" s="10">
        <f>C12/$C$16</f>
        <v>0.2</v>
      </c>
      <c r="E12" s="11">
        <f>D12*100</f>
        <v>20</v>
      </c>
      <c r="F12" s="10">
        <f>C12</f>
        <v>16</v>
      </c>
      <c r="G12" s="12">
        <v>20</v>
      </c>
    </row>
    <row r="13" spans="2:23" ht="23" thickBot="1" x14ac:dyDescent="0.35">
      <c r="B13" s="13" t="s">
        <v>2</v>
      </c>
      <c r="C13" s="9">
        <f>COUNTIF($M$2:$V$9,"Operativo")</f>
        <v>26</v>
      </c>
      <c r="D13" s="10">
        <f>C13/$C$16</f>
        <v>0.32500000000000001</v>
      </c>
      <c r="E13" s="11">
        <f>D13*100</f>
        <v>32.5</v>
      </c>
      <c r="F13" s="10">
        <f>F12+C13</f>
        <v>42</v>
      </c>
      <c r="G13" s="12">
        <f>G12+E13</f>
        <v>52.5</v>
      </c>
    </row>
    <row r="14" spans="2:23" ht="23" thickBot="1" x14ac:dyDescent="0.35">
      <c r="B14" s="8" t="s">
        <v>3</v>
      </c>
      <c r="C14" s="9">
        <f>COUNTIF($M$2:$V$9,"Técnico")</f>
        <v>28</v>
      </c>
      <c r="D14" s="10">
        <f>C14/$C$16</f>
        <v>0.35</v>
      </c>
      <c r="E14" s="11">
        <f>D14*100</f>
        <v>35</v>
      </c>
      <c r="F14" s="10">
        <f>F13+C14</f>
        <v>70</v>
      </c>
      <c r="G14" s="12">
        <f>G13+E14</f>
        <v>87.5</v>
      </c>
    </row>
    <row r="15" spans="2:23" ht="23" thickBot="1" x14ac:dyDescent="0.35">
      <c r="B15" s="13" t="s">
        <v>1</v>
      </c>
      <c r="C15" s="9">
        <f>COUNTIF($M$2:$V$9,"Directivo")</f>
        <v>10</v>
      </c>
      <c r="D15" s="10">
        <f>C15/$C$16</f>
        <v>0.125</v>
      </c>
      <c r="E15" s="11">
        <f>D15*100</f>
        <v>12.5</v>
      </c>
      <c r="F15" s="10">
        <f>F14+C15</f>
        <v>80</v>
      </c>
      <c r="G15" s="12">
        <f>G14+E15</f>
        <v>100</v>
      </c>
    </row>
    <row r="16" spans="2:23" ht="38" customHeight="1" x14ac:dyDescent="0.3">
      <c r="B16" s="14" t="s">
        <v>10</v>
      </c>
      <c r="C16" s="15">
        <f>SUM(C12:C15)</f>
        <v>80</v>
      </c>
      <c r="D16" s="15">
        <f>SUM(D12:D15)</f>
        <v>1</v>
      </c>
      <c r="E16" s="15">
        <f>SUM(E12:E15)</f>
        <v>100</v>
      </c>
      <c r="F16" s="16"/>
      <c r="G16" s="17"/>
    </row>
    <row r="17" spans="2:7" ht="17" customHeight="1" thickBot="1" x14ac:dyDescent="0.35">
      <c r="B17" s="18"/>
      <c r="C17" s="19"/>
      <c r="D17" s="19"/>
      <c r="E17" s="19"/>
      <c r="F17" s="16"/>
      <c r="G17" s="17"/>
    </row>
  </sheetData>
  <mergeCells count="5">
    <mergeCell ref="B16:B17"/>
    <mergeCell ref="C16:C17"/>
    <mergeCell ref="D16:D17"/>
    <mergeCell ref="E16:E17"/>
    <mergeCell ref="F16:F17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Vasconi</dc:creator>
  <cp:lastModifiedBy>Nicolás Vasconi</cp:lastModifiedBy>
  <dcterms:created xsi:type="dcterms:W3CDTF">2026-03-11T21:53:19Z</dcterms:created>
  <dcterms:modified xsi:type="dcterms:W3CDTF">2026-03-11T21:53:53Z</dcterms:modified>
</cp:coreProperties>
</file>