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C-Ejemplo 1 " sheetId="1" r:id="rId5"/>
    <sheet state="visible" name="Hoja 1" sheetId="2" r:id="rId6"/>
    <sheet state="visible" name="MTC-Ejemplo2" sheetId="3" r:id="rId7"/>
  </sheets>
  <definedNames/>
  <calcPr/>
</workbook>
</file>

<file path=xl/sharedStrings.xml><?xml version="1.0" encoding="utf-8"?>
<sst xmlns="http://schemas.openxmlformats.org/spreadsheetml/2006/main" count="46" uniqueCount="33">
  <si>
    <t>X: Cantidad de empleados</t>
  </si>
  <si>
    <t>fi</t>
  </si>
  <si>
    <t>F</t>
  </si>
  <si>
    <t>x*fi</t>
  </si>
  <si>
    <t>Total</t>
  </si>
  <si>
    <t>Medidas de Tendencia Central</t>
  </si>
  <si>
    <t>Media (promedio)</t>
  </si>
  <si>
    <t>Mediana</t>
  </si>
  <si>
    <t xml:space="preserve">Posición de la Mediana </t>
  </si>
  <si>
    <t>Moda</t>
  </si>
  <si>
    <t xml:space="preserve">Medidas de Tendencia No central </t>
  </si>
  <si>
    <t>Q1( cuartil 1)</t>
  </si>
  <si>
    <t>posición Q1</t>
  </si>
  <si>
    <t>Q3 (cuartil 3)</t>
  </si>
  <si>
    <t>posición Q3</t>
  </si>
  <si>
    <t>P40(percentil 40)</t>
  </si>
  <si>
    <t>Posición P40</t>
  </si>
  <si>
    <t>li</t>
  </si>
  <si>
    <t>ls</t>
  </si>
  <si>
    <t>Ingresos</t>
  </si>
  <si>
    <t>x*(Punto Medio)</t>
  </si>
  <si>
    <t>x*.f</t>
  </si>
  <si>
    <t xml:space="preserve">F </t>
  </si>
  <si>
    <t>[120-134)</t>
  </si>
  <si>
    <t>[134-148)</t>
  </si>
  <si>
    <t>[148-162)</t>
  </si>
  <si>
    <t>[162-176)</t>
  </si>
  <si>
    <t>[176-190)</t>
  </si>
  <si>
    <t>[190-204)</t>
  </si>
  <si>
    <t>Medidas de Tendencia central</t>
  </si>
  <si>
    <t>amplitud</t>
  </si>
  <si>
    <t>P80(percentil 80)</t>
  </si>
  <si>
    <t>Posición P80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</si>
</sst>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0.0"/>
      <color theme="1"/>
      <name val="Arial"/>
    </font>
    <font>
      <sz val="20.0"/>
      <color theme="1"/>
      <name val="Aptos Narrow"/>
    </font>
    <font>
      <sz val="20.0"/>
      <color theme="1"/>
      <name val="Arial"/>
    </font>
    <font>
      <b/>
      <sz val="2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Border="1" applyFont="1"/>
    <xf borderId="2" fillId="3" fontId="2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/>
    </xf>
    <xf borderId="1" fillId="2" fontId="4" numFmtId="0" xfId="0" applyBorder="1" applyFont="1"/>
    <xf borderId="2" fillId="3" fontId="2" numFmtId="0" xfId="0" applyBorder="1" applyFont="1"/>
    <xf borderId="2" fillId="2" fontId="2" numFmtId="0" xfId="0" applyBorder="1" applyFont="1"/>
    <xf borderId="2" fillId="2" fontId="3" numFmtId="0" xfId="0" applyAlignment="1" applyBorder="1" applyFont="1">
      <alignment readingOrder="0"/>
    </xf>
    <xf borderId="1" fillId="2" fontId="2" numFmtId="0" xfId="0" applyAlignment="1" applyBorder="1" applyFont="1">
      <alignment horizontal="center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</xdr:row>
      <xdr:rowOff>171450</xdr:rowOff>
    </xdr:from>
    <xdr:ext cx="12963525" cy="819150"/>
    <xdr:sp>
      <xdr:nvSpPr>
        <xdr:cNvPr id="3" name="Shape 3"/>
        <xdr:cNvSpPr txBox="1"/>
      </xdr:nvSpPr>
      <xdr:spPr>
        <a:xfrm>
          <a:off x="0" y="3460913"/>
          <a:ext cx="10692000" cy="6381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Medidas de Posición-</a:t>
          </a: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Datos  Discretos Agrupados en tablas de frecuencias</a:t>
          </a:r>
          <a:endParaRPr b="1" sz="2400"/>
        </a:p>
      </xdr:txBody>
    </xdr:sp>
    <xdr:clientData fLocksWithSheet="0"/>
  </xdr:oneCellAnchor>
  <xdr:oneCellAnchor>
    <xdr:from>
      <xdr:col>1</xdr:col>
      <xdr:colOff>342900</xdr:colOff>
      <xdr:row>13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1830050" cy="638175"/>
    <xdr:sp>
      <xdr:nvSpPr>
        <xdr:cNvPr id="4" name="Shape 4"/>
        <xdr:cNvSpPr txBox="1"/>
      </xdr:nvSpPr>
      <xdr:spPr>
        <a:xfrm>
          <a:off x="0" y="3465675"/>
          <a:ext cx="10692000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Medidas de Posición-</a:t>
          </a: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Datos  Agrupados en intervalos de Clases</a:t>
          </a:r>
          <a:endParaRPr b="1" sz="2400"/>
        </a:p>
      </xdr:txBody>
    </xdr:sp>
    <xdr:clientData fLocksWithSheet="0"/>
  </xdr:oneCellAnchor>
  <xdr:oneCellAnchor>
    <xdr:from>
      <xdr:col>2</xdr:col>
      <xdr:colOff>161925</xdr:colOff>
      <xdr:row>12</xdr:row>
      <xdr:rowOff>238125</xdr:rowOff>
    </xdr:from>
    <xdr:ext cx="0" cy="9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8</xdr:row>
      <xdr:rowOff>200025</xdr:rowOff>
    </xdr:from>
    <xdr:ext cx="0" cy="28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78"/>
    <col customWidth="1" min="4" max="4" width="37.33"/>
    <col customWidth="1" min="5" max="5" width="23.0"/>
    <col customWidth="1" min="6" max="6" width="33.11"/>
    <col customWidth="1" min="7" max="9" width="10.78"/>
    <col customWidth="1" min="10" max="26" width="10.5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2"/>
      <c r="B9" s="2"/>
      <c r="C9" s="2"/>
      <c r="D9" s="3" t="s">
        <v>0</v>
      </c>
      <c r="E9" s="4" t="s">
        <v>1</v>
      </c>
      <c r="F9" s="3" t="s">
        <v>2</v>
      </c>
      <c r="G9" s="3" t="s">
        <v>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2"/>
      <c r="B10" s="2"/>
      <c r="C10" s="2"/>
      <c r="D10" s="5">
        <v>8.0</v>
      </c>
      <c r="E10" s="5">
        <v>7.0</v>
      </c>
      <c r="F10" s="6">
        <v>7.0</v>
      </c>
      <c r="G10" s="6">
        <f t="shared" ref="G10:G13" si="1">D10*E10</f>
        <v>56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2"/>
      <c r="B11" s="2"/>
      <c r="C11" s="2"/>
      <c r="D11" s="6">
        <v>12.0</v>
      </c>
      <c r="E11" s="6">
        <v>4.0</v>
      </c>
      <c r="F11" s="6">
        <v>11.0</v>
      </c>
      <c r="G11" s="6">
        <f t="shared" si="1"/>
        <v>48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2"/>
      <c r="B12" s="2"/>
      <c r="C12" s="2"/>
      <c r="D12" s="6">
        <v>14.0</v>
      </c>
      <c r="E12" s="6">
        <v>5.0</v>
      </c>
      <c r="F12" s="6">
        <v>16.0</v>
      </c>
      <c r="G12" s="6">
        <f t="shared" si="1"/>
        <v>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2"/>
      <c r="B13" s="2"/>
      <c r="C13" s="2"/>
      <c r="D13" s="6">
        <v>16.0</v>
      </c>
      <c r="E13" s="6">
        <v>4.0</v>
      </c>
      <c r="F13" s="6">
        <v>20.0</v>
      </c>
      <c r="G13" s="6">
        <f t="shared" si="1"/>
        <v>64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"/>
      <c r="B14" s="2"/>
      <c r="C14" s="2"/>
      <c r="D14" s="6" t="s">
        <v>4</v>
      </c>
      <c r="E14" s="6">
        <v>20.0</v>
      </c>
      <c r="F14" s="6"/>
      <c r="G14" s="6">
        <f>SUM(G10:G13)</f>
        <v>238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 t="s">
        <v>5</v>
      </c>
      <c r="B15" s="7"/>
      <c r="C15" s="7"/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8" t="s">
        <v>6</v>
      </c>
      <c r="E16" s="9">
        <f>G14/E14</f>
        <v>11.9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8" t="s">
        <v>7</v>
      </c>
      <c r="E17" s="10">
        <v>12.0</v>
      </c>
      <c r="F17" s="8" t="s">
        <v>8</v>
      </c>
      <c r="G17" s="8">
        <f>E14/2</f>
        <v>10</v>
      </c>
      <c r="H17" s="8"/>
      <c r="I17" s="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8" t="s">
        <v>9</v>
      </c>
      <c r="E18" s="10">
        <v>8.0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 t="s">
        <v>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8" t="s">
        <v>11</v>
      </c>
      <c r="E22" s="9">
        <v>8.0</v>
      </c>
      <c r="F22" s="8" t="s">
        <v>12</v>
      </c>
      <c r="G22" s="9">
        <f>0.25*E14</f>
        <v>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8" t="s">
        <v>13</v>
      </c>
      <c r="E23" s="9">
        <v>14.0</v>
      </c>
      <c r="F23" s="8" t="s">
        <v>14</v>
      </c>
      <c r="G23" s="9">
        <f>0.75*E14</f>
        <v>15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8" t="s">
        <v>15</v>
      </c>
      <c r="E24" s="9">
        <v>12.0</v>
      </c>
      <c r="F24" s="8" t="s">
        <v>16</v>
      </c>
      <c r="G24" s="9">
        <f>0.4*E14</f>
        <v>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78"/>
    <col customWidth="1" min="4" max="4" width="25.11"/>
    <col customWidth="1" min="5" max="5" width="15.0"/>
    <col customWidth="1" min="6" max="6" width="23.33"/>
    <col customWidth="1" min="7" max="7" width="10.78"/>
    <col customWidth="1" min="8" max="8" width="19.67"/>
    <col customWidth="1" min="9" max="26" width="10.56"/>
  </cols>
  <sheetData>
    <row r="1" ht="27.0" customHeight="1">
      <c r="A1" s="2"/>
      <c r="B1" s="2"/>
      <c r="C1" s="2"/>
      <c r="D1" s="2"/>
      <c r="E1" s="11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2"/>
      <c r="B2" s="2"/>
      <c r="C2" s="2"/>
      <c r="D2" s="2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2"/>
      <c r="B3" s="2"/>
      <c r="C3" s="2"/>
      <c r="D3" s="2"/>
      <c r="E3" s="11"/>
      <c r="F3" s="1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2"/>
      <c r="B4" s="2"/>
      <c r="C4" s="2"/>
      <c r="D4" s="2"/>
      <c r="E4" s="11"/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2"/>
      <c r="B5" s="2"/>
      <c r="C5" s="2"/>
      <c r="D5" s="2"/>
      <c r="E5" s="11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2"/>
      <c r="B6" s="8" t="s">
        <v>17</v>
      </c>
      <c r="C6" s="8" t="s">
        <v>18</v>
      </c>
      <c r="D6" s="3" t="s">
        <v>19</v>
      </c>
      <c r="E6" s="3" t="s">
        <v>1</v>
      </c>
      <c r="F6" s="3" t="s">
        <v>20</v>
      </c>
      <c r="G6" s="8" t="s">
        <v>21</v>
      </c>
      <c r="H6" s="3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"/>
      <c r="B7" s="9">
        <v>120.0</v>
      </c>
      <c r="C7" s="9">
        <v>134.0</v>
      </c>
      <c r="D7" s="3" t="s">
        <v>23</v>
      </c>
      <c r="E7" s="6">
        <v>1.0</v>
      </c>
      <c r="F7" s="6">
        <f t="shared" ref="F7:F12" si="1">(C7+B7)/2</f>
        <v>127</v>
      </c>
      <c r="G7" s="9">
        <f t="shared" ref="G7:G12" si="2">F7*E7</f>
        <v>127</v>
      </c>
      <c r="H7" s="5">
        <v>1.0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"/>
      <c r="B8" s="9">
        <v>134.0</v>
      </c>
      <c r="C8" s="9">
        <v>148.0</v>
      </c>
      <c r="D8" s="3" t="s">
        <v>24</v>
      </c>
      <c r="E8" s="6">
        <v>3.0</v>
      </c>
      <c r="F8" s="6">
        <f t="shared" si="1"/>
        <v>141</v>
      </c>
      <c r="G8" s="9">
        <f t="shared" si="2"/>
        <v>423</v>
      </c>
      <c r="H8" s="6">
        <v>4.0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2"/>
      <c r="B9" s="9">
        <v>148.0</v>
      </c>
      <c r="C9" s="9">
        <v>162.0</v>
      </c>
      <c r="D9" s="3" t="s">
        <v>25</v>
      </c>
      <c r="E9" s="6">
        <v>4.0</v>
      </c>
      <c r="F9" s="6">
        <f t="shared" si="1"/>
        <v>155</v>
      </c>
      <c r="G9" s="9">
        <f t="shared" si="2"/>
        <v>620</v>
      </c>
      <c r="H9" s="6">
        <v>8.0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2"/>
      <c r="B10" s="9">
        <v>162.0</v>
      </c>
      <c r="C10" s="9">
        <v>176.0</v>
      </c>
      <c r="D10" s="3" t="s">
        <v>26</v>
      </c>
      <c r="E10" s="6">
        <v>6.0</v>
      </c>
      <c r="F10" s="6">
        <f t="shared" si="1"/>
        <v>169</v>
      </c>
      <c r="G10" s="9">
        <f t="shared" si="2"/>
        <v>1014</v>
      </c>
      <c r="H10" s="6">
        <v>14.0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2"/>
      <c r="B11" s="9">
        <v>176.0</v>
      </c>
      <c r="C11" s="9">
        <v>190.0</v>
      </c>
      <c r="D11" s="3" t="s">
        <v>27</v>
      </c>
      <c r="E11" s="6">
        <v>4.0</v>
      </c>
      <c r="F11" s="6">
        <f t="shared" si="1"/>
        <v>183</v>
      </c>
      <c r="G11" s="9">
        <f t="shared" si="2"/>
        <v>732</v>
      </c>
      <c r="H11" s="6">
        <v>18.0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2"/>
      <c r="B12" s="9">
        <v>190.0</v>
      </c>
      <c r="C12" s="9">
        <v>204.0</v>
      </c>
      <c r="D12" s="3" t="s">
        <v>28</v>
      </c>
      <c r="E12" s="6">
        <v>2.0</v>
      </c>
      <c r="F12" s="6">
        <f t="shared" si="1"/>
        <v>197</v>
      </c>
      <c r="G12" s="9">
        <f t="shared" si="2"/>
        <v>394</v>
      </c>
      <c r="H12" s="6">
        <v>20.0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2"/>
      <c r="B13" s="2"/>
      <c r="C13" s="2"/>
      <c r="D13" s="9" t="s">
        <v>4</v>
      </c>
      <c r="E13" s="6">
        <v>20.0</v>
      </c>
      <c r="F13" s="6"/>
      <c r="G13" s="9">
        <f>SUM(G7:G12)</f>
        <v>3310</v>
      </c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 t="s">
        <v>29</v>
      </c>
      <c r="B14" s="7"/>
      <c r="C14" s="7"/>
      <c r="D14" s="7"/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8" t="s">
        <v>6</v>
      </c>
      <c r="E15" s="9">
        <f>G13/E13</f>
        <v>165.5</v>
      </c>
      <c r="F15" s="8" t="s">
        <v>30</v>
      </c>
      <c r="G15" s="9">
        <f>C7-B7</f>
        <v>14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8" t="s">
        <v>7</v>
      </c>
      <c r="E16" s="9">
        <f>B10+((H16-H9)/E10)*G15</f>
        <v>166.6666667</v>
      </c>
      <c r="F16" s="8" t="s">
        <v>8</v>
      </c>
      <c r="G16" s="8"/>
      <c r="H16" s="12">
        <f>E13/2</f>
        <v>10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8" t="s">
        <v>9</v>
      </c>
      <c r="E17" s="9">
        <v>169.0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11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 t="s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8" t="s">
        <v>11</v>
      </c>
      <c r="E21" s="9">
        <f>B9+((G21-H8)/4)*G15</f>
        <v>151.5</v>
      </c>
      <c r="F21" s="8" t="s">
        <v>12</v>
      </c>
      <c r="G21" s="9">
        <f>(1/4)*E13</f>
        <v>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8" t="s">
        <v>13</v>
      </c>
      <c r="E22" s="9">
        <f>B11+((G22-H10)/E11)*G15</f>
        <v>179.5</v>
      </c>
      <c r="F22" s="8" t="s">
        <v>14</v>
      </c>
      <c r="G22" s="9">
        <f>(3/4)*E13</f>
        <v>15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8" t="s">
        <v>15</v>
      </c>
      <c r="E23" s="9">
        <f>B9+((G23-H8)/E9)*G15</f>
        <v>162</v>
      </c>
      <c r="F23" s="8" t="s">
        <v>16</v>
      </c>
      <c r="G23" s="9">
        <f>0.4*E13</f>
        <v>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8" t="s">
        <v>31</v>
      </c>
      <c r="E24" s="9">
        <f>B11+((G24-H10)/E11)*G15</f>
        <v>183</v>
      </c>
      <c r="F24" s="8" t="s">
        <v>32</v>
      </c>
      <c r="G24" s="9">
        <f>(80/100)*E13</f>
        <v>16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11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11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11"/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11"/>
      <c r="F28" s="1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11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11"/>
      <c r="F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11"/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11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11"/>
      <c r="F34" s="1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11"/>
      <c r="F35" s="1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11"/>
      <c r="F36" s="1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11"/>
      <c r="F37" s="1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11"/>
      <c r="F38" s="1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11"/>
      <c r="F39" s="1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11"/>
      <c r="F40" s="1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11"/>
      <c r="F41" s="1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11"/>
      <c r="F42" s="1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11"/>
      <c r="F43" s="1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11"/>
      <c r="F44" s="1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11"/>
      <c r="F45" s="1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11"/>
      <c r="F46" s="1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11"/>
      <c r="F47" s="1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11"/>
      <c r="F48" s="1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11"/>
      <c r="F49" s="1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11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11"/>
      <c r="F51" s="1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11"/>
      <c r="F52" s="1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11"/>
      <c r="F53" s="1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11"/>
      <c r="F54" s="1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11"/>
      <c r="F55" s="1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11"/>
      <c r="F56" s="1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11"/>
      <c r="F57" s="1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11"/>
      <c r="F58" s="1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11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11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11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11"/>
      <c r="F62" s="1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11"/>
      <c r="F63" s="1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11"/>
      <c r="F64" s="1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11"/>
      <c r="F65" s="1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11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11"/>
      <c r="F67" s="1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11"/>
      <c r="F68" s="1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11"/>
      <c r="F69" s="1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11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11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11"/>
      <c r="F72" s="1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11"/>
      <c r="F73" s="1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11"/>
      <c r="F74" s="1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11"/>
      <c r="F75" s="1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11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11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11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11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11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11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11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11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11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11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11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11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11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11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11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11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11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11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11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11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11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11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11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11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11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11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11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11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11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11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11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11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11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11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11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11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11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11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11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11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11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11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11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11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11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11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11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11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11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11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11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11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11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11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11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11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11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11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1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11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11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11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1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11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11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11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11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11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11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11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11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11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11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11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11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11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11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11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11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11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11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11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11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11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11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11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11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11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11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11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11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11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11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11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11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11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11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11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11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11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11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11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11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11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11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11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11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11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11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11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11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11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11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11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11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11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11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11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11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11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11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11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11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11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11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11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11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11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11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11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11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11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11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11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11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11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11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11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11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11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11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11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11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11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11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11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11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11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11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11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11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11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11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11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11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11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11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11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11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11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11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11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11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11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11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11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11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11"/>
      <c r="F243" s="1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11"/>
      <c r="F244" s="1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11"/>
      <c r="F245" s="1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11"/>
      <c r="F246" s="1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11"/>
      <c r="F247" s="1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11"/>
      <c r="F248" s="1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11"/>
      <c r="F249" s="1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11"/>
      <c r="F250" s="1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11"/>
      <c r="F251" s="1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11"/>
      <c r="F252" s="1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11"/>
      <c r="F253" s="1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11"/>
      <c r="F254" s="1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11"/>
      <c r="F255" s="1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11"/>
      <c r="F256" s="1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11"/>
      <c r="F257" s="1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11"/>
      <c r="F258" s="1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11"/>
      <c r="F259" s="1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11"/>
      <c r="F260" s="1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11"/>
      <c r="F261" s="1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11"/>
      <c r="F262" s="1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11"/>
      <c r="F263" s="1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11"/>
      <c r="F264" s="1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11"/>
      <c r="F265" s="1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11"/>
      <c r="F266" s="1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11"/>
      <c r="F267" s="1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11"/>
      <c r="F268" s="1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11"/>
      <c r="F269" s="1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11"/>
      <c r="F270" s="1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11"/>
      <c r="F271" s="1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11"/>
      <c r="F272" s="1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11"/>
      <c r="F273" s="1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11"/>
      <c r="F274" s="1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11"/>
      <c r="F275" s="1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11"/>
      <c r="F276" s="1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11"/>
      <c r="F277" s="1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11"/>
      <c r="F278" s="1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11"/>
      <c r="F279" s="1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11"/>
      <c r="F280" s="1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11"/>
      <c r="F281" s="1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11"/>
      <c r="F282" s="1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11"/>
      <c r="F283" s="1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11"/>
      <c r="F284" s="1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11"/>
      <c r="F285" s="1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11"/>
      <c r="F286" s="1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11"/>
      <c r="F287" s="1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11"/>
      <c r="F288" s="1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11"/>
      <c r="F289" s="1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11"/>
      <c r="F290" s="1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11"/>
      <c r="F291" s="1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11"/>
      <c r="F292" s="1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11"/>
      <c r="F293" s="1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11"/>
      <c r="F294" s="1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11"/>
      <c r="F295" s="1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11"/>
      <c r="F296" s="1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11"/>
      <c r="F297" s="1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11"/>
      <c r="F298" s="1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11"/>
      <c r="F299" s="1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11"/>
      <c r="F300" s="1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11"/>
      <c r="F301" s="1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11"/>
      <c r="F302" s="1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11"/>
      <c r="F303" s="1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11"/>
      <c r="F304" s="1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11"/>
      <c r="F305" s="1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11"/>
      <c r="F306" s="1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11"/>
      <c r="F307" s="1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11"/>
      <c r="F308" s="1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11"/>
      <c r="F309" s="1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11"/>
      <c r="F310" s="1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11"/>
      <c r="F311" s="1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11"/>
      <c r="F312" s="1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11"/>
      <c r="F313" s="1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11"/>
      <c r="F314" s="1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11"/>
      <c r="F315" s="1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11"/>
      <c r="F316" s="1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11"/>
      <c r="F317" s="1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11"/>
      <c r="F318" s="1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11"/>
      <c r="F319" s="1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11"/>
      <c r="F320" s="1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11"/>
      <c r="F321" s="1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11"/>
      <c r="F322" s="1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11"/>
      <c r="F323" s="1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11"/>
      <c r="F324" s="1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11"/>
      <c r="F325" s="1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11"/>
      <c r="F326" s="1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11"/>
      <c r="F327" s="1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11"/>
      <c r="F328" s="1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11"/>
      <c r="F329" s="1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11"/>
      <c r="F330" s="1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11"/>
      <c r="F331" s="1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11"/>
      <c r="F332" s="1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11"/>
      <c r="F333" s="1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11"/>
      <c r="F334" s="1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11"/>
      <c r="F335" s="1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11"/>
      <c r="F336" s="1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11"/>
      <c r="F337" s="1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11"/>
      <c r="F338" s="1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11"/>
      <c r="F339" s="1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11"/>
      <c r="F340" s="1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11"/>
      <c r="F341" s="1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11"/>
      <c r="F342" s="1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11"/>
      <c r="F343" s="1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11"/>
      <c r="F344" s="1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11"/>
      <c r="F345" s="1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11"/>
      <c r="F346" s="1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11"/>
      <c r="F347" s="1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11"/>
      <c r="F348" s="1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11"/>
      <c r="F349" s="1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11"/>
      <c r="F350" s="1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11"/>
      <c r="F351" s="1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11"/>
      <c r="F352" s="1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11"/>
      <c r="F353" s="1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11"/>
      <c r="F354" s="1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11"/>
      <c r="F355" s="1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11"/>
      <c r="F356" s="1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11"/>
      <c r="F357" s="1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11"/>
      <c r="F358" s="1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11"/>
      <c r="F359" s="1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11"/>
      <c r="F360" s="1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11"/>
      <c r="F361" s="1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11"/>
      <c r="F362" s="1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11"/>
      <c r="F363" s="1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11"/>
      <c r="F364" s="1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11"/>
      <c r="F365" s="1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11"/>
      <c r="F366" s="1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11"/>
      <c r="F367" s="1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11"/>
      <c r="F368" s="1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11"/>
      <c r="F369" s="1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11"/>
      <c r="F370" s="1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11"/>
      <c r="F371" s="1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11"/>
      <c r="F372" s="1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11"/>
      <c r="F373" s="1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11"/>
      <c r="F374" s="1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11"/>
      <c r="F375" s="1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11"/>
      <c r="F376" s="1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11"/>
      <c r="F377" s="1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11"/>
      <c r="F378" s="1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11"/>
      <c r="F379" s="1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11"/>
      <c r="F380" s="1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11"/>
      <c r="F381" s="1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11"/>
      <c r="F382" s="1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11"/>
      <c r="F383" s="1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11"/>
      <c r="F384" s="1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11"/>
      <c r="F385" s="1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11"/>
      <c r="F386" s="1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11"/>
      <c r="F387" s="1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11"/>
      <c r="F388" s="1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11"/>
      <c r="F389" s="1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11"/>
      <c r="F390" s="1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11"/>
      <c r="F391" s="1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11"/>
      <c r="F392" s="1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11"/>
      <c r="F393" s="1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11"/>
      <c r="F394" s="1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11"/>
      <c r="F395" s="1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11"/>
      <c r="F396" s="1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11"/>
      <c r="F397" s="1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11"/>
      <c r="F398" s="1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11"/>
      <c r="F399" s="1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11"/>
      <c r="F400" s="1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11"/>
      <c r="F401" s="1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11"/>
      <c r="F402" s="1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11"/>
      <c r="F403" s="1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11"/>
      <c r="F404" s="1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11"/>
      <c r="F405" s="1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11"/>
      <c r="F406" s="1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11"/>
      <c r="F407" s="1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11"/>
      <c r="F408" s="1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11"/>
      <c r="F409" s="1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11"/>
      <c r="F410" s="1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11"/>
      <c r="F411" s="1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11"/>
      <c r="F412" s="1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11"/>
      <c r="F413" s="1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11"/>
      <c r="F414" s="1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11"/>
      <c r="F415" s="1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11"/>
      <c r="F416" s="1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11"/>
      <c r="F417" s="1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11"/>
      <c r="F418" s="1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11"/>
      <c r="F419" s="1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11"/>
      <c r="F420" s="1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11"/>
      <c r="F421" s="1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11"/>
      <c r="F422" s="1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11"/>
      <c r="F423" s="1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11"/>
      <c r="F424" s="1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11"/>
      <c r="F425" s="1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11"/>
      <c r="F426" s="1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11"/>
      <c r="F427" s="1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11"/>
      <c r="F428" s="1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11"/>
      <c r="F429" s="1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11"/>
      <c r="F430" s="1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11"/>
      <c r="F431" s="1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11"/>
      <c r="F432" s="1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11"/>
      <c r="F433" s="1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11"/>
      <c r="F434" s="1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11"/>
      <c r="F435" s="1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11"/>
      <c r="F436" s="1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11"/>
      <c r="F437" s="1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11"/>
      <c r="F438" s="1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11"/>
      <c r="F439" s="1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11"/>
      <c r="F440" s="1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11"/>
      <c r="F441" s="1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11"/>
      <c r="F442" s="1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11"/>
      <c r="F443" s="1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11"/>
      <c r="F444" s="1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11"/>
      <c r="F445" s="1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11"/>
      <c r="F446" s="1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11"/>
      <c r="F447" s="1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11"/>
      <c r="F448" s="1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11"/>
      <c r="F449" s="1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11"/>
      <c r="F450" s="1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11"/>
      <c r="F451" s="1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11"/>
      <c r="F452" s="1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11"/>
      <c r="F453" s="1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11"/>
      <c r="F454" s="1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11"/>
      <c r="F455" s="1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11"/>
      <c r="F456" s="1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11"/>
      <c r="F457" s="1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11"/>
      <c r="F458" s="1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11"/>
      <c r="F459" s="1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11"/>
      <c r="F460" s="1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11"/>
      <c r="F461" s="1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11"/>
      <c r="F462" s="1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11"/>
      <c r="F463" s="1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11"/>
      <c r="F464" s="1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11"/>
      <c r="F465" s="1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11"/>
      <c r="F466" s="1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11"/>
      <c r="F467" s="1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11"/>
      <c r="F468" s="1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11"/>
      <c r="F469" s="1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11"/>
      <c r="F470" s="1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11"/>
      <c r="F471" s="1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11"/>
      <c r="F472" s="1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11"/>
      <c r="F473" s="1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11"/>
      <c r="F474" s="1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11"/>
      <c r="F475" s="1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11"/>
      <c r="F476" s="1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11"/>
      <c r="F477" s="1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11"/>
      <c r="F478" s="1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11"/>
      <c r="F479" s="1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11"/>
      <c r="F480" s="1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11"/>
      <c r="F481" s="1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11"/>
      <c r="F482" s="1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11"/>
      <c r="F483" s="1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11"/>
      <c r="F484" s="1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11"/>
      <c r="F485" s="1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11"/>
      <c r="F486" s="1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11"/>
      <c r="F487" s="1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11"/>
      <c r="F488" s="1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11"/>
      <c r="F489" s="1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11"/>
      <c r="F490" s="1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11"/>
      <c r="F491" s="1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11"/>
      <c r="F492" s="1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11"/>
      <c r="F493" s="1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11"/>
      <c r="F494" s="1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11"/>
      <c r="F495" s="1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11"/>
      <c r="F496" s="1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11"/>
      <c r="F497" s="1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11"/>
      <c r="F498" s="1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11"/>
      <c r="F499" s="1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11"/>
      <c r="F500" s="1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11"/>
      <c r="F501" s="1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11"/>
      <c r="F502" s="1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11"/>
      <c r="F503" s="1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11"/>
      <c r="F504" s="1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11"/>
      <c r="F505" s="1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11"/>
      <c r="F506" s="1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11"/>
      <c r="F507" s="1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11"/>
      <c r="F508" s="1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11"/>
      <c r="F509" s="1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11"/>
      <c r="F510" s="1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11"/>
      <c r="F511" s="1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11"/>
      <c r="F512" s="1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11"/>
      <c r="F513" s="1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11"/>
      <c r="F514" s="1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11"/>
      <c r="F515" s="1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11"/>
      <c r="F516" s="1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11"/>
      <c r="F517" s="1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11"/>
      <c r="F518" s="1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11"/>
      <c r="F519" s="1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11"/>
      <c r="F520" s="1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11"/>
      <c r="F521" s="1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11"/>
      <c r="F522" s="1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11"/>
      <c r="F523" s="1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11"/>
      <c r="F524" s="1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11"/>
      <c r="F525" s="1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11"/>
      <c r="F526" s="1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11"/>
      <c r="F527" s="1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11"/>
      <c r="F528" s="1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11"/>
      <c r="F529" s="1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11"/>
      <c r="F530" s="1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11"/>
      <c r="F531" s="1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11"/>
      <c r="F532" s="1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11"/>
      <c r="F533" s="1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11"/>
      <c r="F534" s="1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11"/>
      <c r="F535" s="1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11"/>
      <c r="F536" s="1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11"/>
      <c r="F537" s="1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11"/>
      <c r="F538" s="1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11"/>
      <c r="F539" s="1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11"/>
      <c r="F540" s="1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11"/>
      <c r="F541" s="1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11"/>
      <c r="F542" s="1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11"/>
      <c r="F543" s="1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11"/>
      <c r="F544" s="1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11"/>
      <c r="F545" s="1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11"/>
      <c r="F546" s="1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11"/>
      <c r="F547" s="1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11"/>
      <c r="F548" s="1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11"/>
      <c r="F549" s="1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11"/>
      <c r="F550" s="1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11"/>
      <c r="F551" s="1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11"/>
      <c r="F552" s="1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11"/>
      <c r="F553" s="1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11"/>
      <c r="F554" s="1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11"/>
      <c r="F555" s="1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11"/>
      <c r="F556" s="1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11"/>
      <c r="F557" s="1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11"/>
      <c r="F558" s="1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11"/>
      <c r="F559" s="1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11"/>
      <c r="F560" s="1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11"/>
      <c r="F561" s="1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11"/>
      <c r="F562" s="1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11"/>
      <c r="F563" s="1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11"/>
      <c r="F564" s="1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11"/>
      <c r="F565" s="1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11"/>
      <c r="F566" s="1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11"/>
      <c r="F567" s="1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11"/>
      <c r="F568" s="1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11"/>
      <c r="F569" s="1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11"/>
      <c r="F570" s="1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11"/>
      <c r="F571" s="1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11"/>
      <c r="F572" s="1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11"/>
      <c r="F573" s="1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11"/>
      <c r="F574" s="1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11"/>
      <c r="F575" s="1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11"/>
      <c r="F576" s="1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11"/>
      <c r="F577" s="1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11"/>
      <c r="F578" s="1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11"/>
      <c r="F579" s="1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11"/>
      <c r="F580" s="1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11"/>
      <c r="F581" s="1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11"/>
      <c r="F582" s="1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11"/>
      <c r="F583" s="1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11"/>
      <c r="F584" s="1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11"/>
      <c r="F585" s="1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11"/>
      <c r="F586" s="1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11"/>
      <c r="F587" s="1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11"/>
      <c r="F588" s="1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11"/>
      <c r="F589" s="1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11"/>
      <c r="F590" s="1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11"/>
      <c r="F591" s="1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11"/>
      <c r="F592" s="1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11"/>
      <c r="F593" s="1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11"/>
      <c r="F594" s="1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11"/>
      <c r="F595" s="1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11"/>
      <c r="F596" s="1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11"/>
      <c r="F597" s="1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11"/>
      <c r="F598" s="1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11"/>
      <c r="F599" s="1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11"/>
      <c r="F600" s="1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11"/>
      <c r="F601" s="1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11"/>
      <c r="F602" s="1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11"/>
      <c r="F603" s="1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11"/>
      <c r="F604" s="1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11"/>
      <c r="F605" s="1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11"/>
      <c r="F606" s="1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11"/>
      <c r="F607" s="1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11"/>
      <c r="F608" s="1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11"/>
      <c r="F609" s="1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11"/>
      <c r="F610" s="1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11"/>
      <c r="F611" s="1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11"/>
      <c r="F612" s="1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11"/>
      <c r="F613" s="1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11"/>
      <c r="F614" s="1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11"/>
      <c r="F615" s="1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11"/>
      <c r="F616" s="1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11"/>
      <c r="F617" s="1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11"/>
      <c r="F618" s="1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11"/>
      <c r="F619" s="1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11"/>
      <c r="F620" s="1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11"/>
      <c r="F621" s="1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11"/>
      <c r="F622" s="1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11"/>
      <c r="F623" s="1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11"/>
      <c r="F624" s="1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11"/>
      <c r="F625" s="1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11"/>
      <c r="F626" s="1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11"/>
      <c r="F627" s="1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11"/>
      <c r="F628" s="1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11"/>
      <c r="F629" s="1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11"/>
      <c r="F630" s="1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11"/>
      <c r="F631" s="1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11"/>
      <c r="F632" s="1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11"/>
      <c r="F633" s="1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11"/>
      <c r="F634" s="1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11"/>
      <c r="F635" s="1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11"/>
      <c r="F636" s="1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11"/>
      <c r="F637" s="1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11"/>
      <c r="F638" s="1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11"/>
      <c r="F639" s="1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11"/>
      <c r="F640" s="1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11"/>
      <c r="F641" s="1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11"/>
      <c r="F642" s="1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11"/>
      <c r="F643" s="1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11"/>
      <c r="F644" s="1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11"/>
      <c r="F645" s="1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11"/>
      <c r="F646" s="1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11"/>
      <c r="F647" s="1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11"/>
      <c r="F648" s="1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11"/>
      <c r="F649" s="1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11"/>
      <c r="F650" s="1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11"/>
      <c r="F651" s="1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11"/>
      <c r="F652" s="1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11"/>
      <c r="F653" s="1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11"/>
      <c r="F654" s="1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11"/>
      <c r="F655" s="1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11"/>
      <c r="F656" s="1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11"/>
      <c r="F657" s="1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11"/>
      <c r="F658" s="1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11"/>
      <c r="F659" s="1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11"/>
      <c r="F660" s="1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11"/>
      <c r="F661" s="1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11"/>
      <c r="F662" s="1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11"/>
      <c r="F663" s="1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11"/>
      <c r="F664" s="1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11"/>
      <c r="F665" s="1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11"/>
      <c r="F666" s="1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11"/>
      <c r="F667" s="1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11"/>
      <c r="F668" s="1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11"/>
      <c r="F669" s="1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11"/>
      <c r="F670" s="1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11"/>
      <c r="F671" s="1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11"/>
      <c r="F672" s="1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11"/>
      <c r="F673" s="1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11"/>
      <c r="F674" s="1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11"/>
      <c r="F675" s="1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11"/>
      <c r="F676" s="1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11"/>
      <c r="F677" s="1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11"/>
      <c r="F678" s="1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11"/>
      <c r="F679" s="1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11"/>
      <c r="F680" s="1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11"/>
      <c r="F681" s="1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11"/>
      <c r="F682" s="1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11"/>
      <c r="F683" s="1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11"/>
      <c r="F684" s="1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11"/>
      <c r="F685" s="1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11"/>
      <c r="F686" s="1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11"/>
      <c r="F687" s="1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11"/>
      <c r="F688" s="1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11"/>
      <c r="F689" s="1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11"/>
      <c r="F690" s="1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11"/>
      <c r="F691" s="1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11"/>
      <c r="F692" s="1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11"/>
      <c r="F693" s="1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11"/>
      <c r="F694" s="1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11"/>
      <c r="F695" s="1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11"/>
      <c r="F696" s="1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11"/>
      <c r="F697" s="1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11"/>
      <c r="F698" s="1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11"/>
      <c r="F699" s="1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11"/>
      <c r="F700" s="1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11"/>
      <c r="F701" s="1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11"/>
      <c r="F702" s="1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11"/>
      <c r="F703" s="1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11"/>
      <c r="F704" s="1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11"/>
      <c r="F705" s="1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11"/>
      <c r="F706" s="1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11"/>
      <c r="F707" s="1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11"/>
      <c r="F708" s="1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11"/>
      <c r="F709" s="1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11"/>
      <c r="F710" s="1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11"/>
      <c r="F711" s="1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11"/>
      <c r="F712" s="1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11"/>
      <c r="F713" s="1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11"/>
      <c r="F714" s="1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11"/>
      <c r="F715" s="1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11"/>
      <c r="F716" s="1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11"/>
      <c r="F717" s="1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11"/>
      <c r="F718" s="1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11"/>
      <c r="F719" s="1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11"/>
      <c r="F720" s="1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11"/>
      <c r="F721" s="1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11"/>
      <c r="F722" s="1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11"/>
      <c r="F723" s="1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11"/>
      <c r="F724" s="1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11"/>
      <c r="F725" s="1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11"/>
      <c r="F726" s="1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11"/>
      <c r="F727" s="1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11"/>
      <c r="F728" s="1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11"/>
      <c r="F729" s="1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11"/>
      <c r="F730" s="1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11"/>
      <c r="F731" s="1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11"/>
      <c r="F732" s="1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11"/>
      <c r="F733" s="1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11"/>
      <c r="F734" s="1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11"/>
      <c r="F735" s="1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11"/>
      <c r="F736" s="1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11"/>
      <c r="F737" s="1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11"/>
      <c r="F738" s="1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11"/>
      <c r="F739" s="1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11"/>
      <c r="F740" s="1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11"/>
      <c r="F741" s="1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11"/>
      <c r="F742" s="1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11"/>
      <c r="F743" s="1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11"/>
      <c r="F744" s="1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11"/>
      <c r="F745" s="1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11"/>
      <c r="F746" s="1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11"/>
      <c r="F747" s="1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11"/>
      <c r="F748" s="1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11"/>
      <c r="F749" s="1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11"/>
      <c r="F750" s="1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11"/>
      <c r="F751" s="1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11"/>
      <c r="F752" s="1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11"/>
      <c r="F753" s="1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11"/>
      <c r="F754" s="1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11"/>
      <c r="F755" s="1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11"/>
      <c r="F756" s="1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11"/>
      <c r="F757" s="1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11"/>
      <c r="F758" s="1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11"/>
      <c r="F759" s="1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11"/>
      <c r="F760" s="1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11"/>
      <c r="F761" s="1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11"/>
      <c r="F762" s="1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11"/>
      <c r="F763" s="1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11"/>
      <c r="F764" s="1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11"/>
      <c r="F765" s="1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11"/>
      <c r="F766" s="1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11"/>
      <c r="F767" s="1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11"/>
      <c r="F768" s="1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11"/>
      <c r="F769" s="1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11"/>
      <c r="F770" s="1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11"/>
      <c r="F771" s="1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11"/>
      <c r="F772" s="1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11"/>
      <c r="F773" s="1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11"/>
      <c r="F774" s="1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11"/>
      <c r="F775" s="1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11"/>
      <c r="F776" s="1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11"/>
      <c r="F777" s="1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11"/>
      <c r="F778" s="1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11"/>
      <c r="F779" s="1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11"/>
      <c r="F780" s="1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11"/>
      <c r="F781" s="1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11"/>
      <c r="F782" s="1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11"/>
      <c r="F783" s="1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11"/>
      <c r="F784" s="1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11"/>
      <c r="F785" s="1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11"/>
      <c r="F786" s="1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11"/>
      <c r="F787" s="1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11"/>
      <c r="F788" s="1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11"/>
      <c r="F789" s="1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11"/>
      <c r="F790" s="1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11"/>
      <c r="F791" s="1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11"/>
      <c r="F792" s="1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11"/>
      <c r="F793" s="1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11"/>
      <c r="F794" s="1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11"/>
      <c r="F795" s="1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11"/>
      <c r="F796" s="1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11"/>
      <c r="F797" s="1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11"/>
      <c r="F798" s="1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11"/>
      <c r="F799" s="1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11"/>
      <c r="F800" s="1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11"/>
      <c r="F801" s="1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11"/>
      <c r="F802" s="1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11"/>
      <c r="F803" s="1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11"/>
      <c r="F804" s="1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11"/>
      <c r="F805" s="1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11"/>
      <c r="F806" s="1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11"/>
      <c r="F807" s="1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11"/>
      <c r="F808" s="1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11"/>
      <c r="F809" s="1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11"/>
      <c r="F810" s="1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11"/>
      <c r="F811" s="1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11"/>
      <c r="F812" s="1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11"/>
      <c r="F813" s="1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11"/>
      <c r="F814" s="1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11"/>
      <c r="F815" s="1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11"/>
      <c r="F816" s="1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11"/>
      <c r="F817" s="1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11"/>
      <c r="F818" s="1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11"/>
      <c r="F819" s="1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11"/>
      <c r="F820" s="1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11"/>
      <c r="F821" s="1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11"/>
      <c r="F822" s="1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11"/>
      <c r="F823" s="1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11"/>
      <c r="F824" s="1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11"/>
      <c r="F825" s="1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11"/>
      <c r="F826" s="1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11"/>
      <c r="F827" s="1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11"/>
      <c r="F828" s="1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11"/>
      <c r="F829" s="1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11"/>
      <c r="F830" s="1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11"/>
      <c r="F831" s="1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11"/>
      <c r="F832" s="1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11"/>
      <c r="F833" s="1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11"/>
      <c r="F834" s="1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11"/>
      <c r="F835" s="1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11"/>
      <c r="F836" s="1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11"/>
      <c r="F837" s="1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11"/>
      <c r="F838" s="1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11"/>
      <c r="F839" s="1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11"/>
      <c r="F840" s="1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11"/>
      <c r="F841" s="1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11"/>
      <c r="F842" s="1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11"/>
      <c r="F843" s="1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11"/>
      <c r="F844" s="1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11"/>
      <c r="F845" s="1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11"/>
      <c r="F846" s="1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11"/>
      <c r="F847" s="1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11"/>
      <c r="F848" s="1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11"/>
      <c r="F849" s="1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11"/>
      <c r="F850" s="1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11"/>
      <c r="F851" s="1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11"/>
      <c r="F852" s="1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11"/>
      <c r="F853" s="1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11"/>
      <c r="F854" s="1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11"/>
      <c r="F855" s="1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11"/>
      <c r="F856" s="1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11"/>
      <c r="F857" s="1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11"/>
      <c r="F858" s="1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11"/>
      <c r="F859" s="1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11"/>
      <c r="F860" s="1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11"/>
      <c r="F861" s="1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11"/>
      <c r="F862" s="1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11"/>
      <c r="F863" s="1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11"/>
      <c r="F864" s="1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11"/>
      <c r="F865" s="1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11"/>
      <c r="F866" s="1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11"/>
      <c r="F867" s="1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11"/>
      <c r="F868" s="1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11"/>
      <c r="F869" s="1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11"/>
      <c r="F870" s="1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11"/>
      <c r="F871" s="1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11"/>
      <c r="F872" s="1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11"/>
      <c r="F873" s="1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11"/>
      <c r="F874" s="1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11"/>
      <c r="F875" s="1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11"/>
      <c r="F876" s="1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11"/>
      <c r="F877" s="1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11"/>
      <c r="F878" s="1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11"/>
      <c r="F879" s="1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11"/>
      <c r="F880" s="1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11"/>
      <c r="F881" s="1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11"/>
      <c r="F882" s="1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11"/>
      <c r="F883" s="1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11"/>
      <c r="F884" s="1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11"/>
      <c r="F885" s="1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11"/>
      <c r="F886" s="1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11"/>
      <c r="F887" s="1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11"/>
      <c r="F888" s="1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11"/>
      <c r="F889" s="1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11"/>
      <c r="F890" s="1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11"/>
      <c r="F891" s="1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11"/>
      <c r="F892" s="1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11"/>
      <c r="F893" s="1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11"/>
      <c r="F894" s="1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11"/>
      <c r="F895" s="1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11"/>
      <c r="F896" s="1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11"/>
      <c r="F897" s="1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11"/>
      <c r="F898" s="1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11"/>
      <c r="F899" s="1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11"/>
      <c r="F900" s="1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11"/>
      <c r="F901" s="1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11"/>
      <c r="F902" s="1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11"/>
      <c r="F903" s="1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11"/>
      <c r="F904" s="1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11"/>
      <c r="F905" s="1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11"/>
      <c r="F906" s="1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11"/>
      <c r="F907" s="1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11"/>
      <c r="F908" s="1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11"/>
      <c r="F909" s="1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11"/>
      <c r="F910" s="1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11"/>
      <c r="F911" s="1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11"/>
      <c r="F912" s="1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11"/>
      <c r="F913" s="1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11"/>
      <c r="F914" s="1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11"/>
      <c r="F915" s="1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11"/>
      <c r="F916" s="1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11"/>
      <c r="F917" s="1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11"/>
      <c r="F918" s="1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11"/>
      <c r="F919" s="1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11"/>
      <c r="F920" s="1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11"/>
      <c r="F921" s="1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11"/>
      <c r="F922" s="1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11"/>
      <c r="F923" s="1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11"/>
      <c r="F924" s="1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11"/>
      <c r="F925" s="1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11"/>
      <c r="F926" s="1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11"/>
      <c r="F927" s="1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11"/>
      <c r="F928" s="1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11"/>
      <c r="F929" s="1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11"/>
      <c r="F930" s="1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11"/>
      <c r="F931" s="1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11"/>
      <c r="F932" s="1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11"/>
      <c r="F933" s="1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11"/>
      <c r="F934" s="1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11"/>
      <c r="F935" s="1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11"/>
      <c r="F936" s="1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11"/>
      <c r="F937" s="1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11"/>
      <c r="F938" s="1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11"/>
      <c r="F939" s="1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11"/>
      <c r="F940" s="1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11"/>
      <c r="F941" s="1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11"/>
      <c r="F942" s="1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11"/>
      <c r="F943" s="1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11"/>
      <c r="F944" s="1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11"/>
      <c r="F945" s="1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11"/>
      <c r="F946" s="1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11"/>
      <c r="F947" s="1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11"/>
      <c r="F948" s="1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11"/>
      <c r="F949" s="1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11"/>
      <c r="F950" s="1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11"/>
      <c r="F951" s="1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11"/>
      <c r="F952" s="1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11"/>
      <c r="F953" s="1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11"/>
      <c r="F954" s="1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11"/>
      <c r="F955" s="1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11"/>
      <c r="F956" s="1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11"/>
      <c r="F957" s="1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11"/>
      <c r="F958" s="1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11"/>
      <c r="F959" s="1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11"/>
      <c r="F960" s="1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11"/>
      <c r="F961" s="1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11"/>
      <c r="F962" s="1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11"/>
      <c r="F963" s="1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11"/>
      <c r="F964" s="1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11"/>
      <c r="F965" s="1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11"/>
      <c r="F966" s="1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11"/>
      <c r="F967" s="1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11"/>
      <c r="F968" s="1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11"/>
      <c r="F969" s="1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11"/>
      <c r="F970" s="1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11"/>
      <c r="F971" s="1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11"/>
      <c r="F972" s="1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11"/>
      <c r="F973" s="1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11"/>
      <c r="F974" s="1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11"/>
      <c r="F975" s="1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11"/>
      <c r="F976" s="1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11"/>
      <c r="F977" s="1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11"/>
      <c r="F978" s="1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11"/>
      <c r="F979" s="1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11"/>
      <c r="F980" s="1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11"/>
      <c r="F981" s="1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11"/>
      <c r="F982" s="1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11"/>
      <c r="F983" s="1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11"/>
      <c r="F984" s="1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11"/>
      <c r="F985" s="1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11"/>
      <c r="F986" s="1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11"/>
      <c r="F987" s="1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11"/>
      <c r="F988" s="1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11"/>
      <c r="F989" s="1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11"/>
      <c r="F990" s="1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11"/>
      <c r="F991" s="1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11"/>
      <c r="F992" s="1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11"/>
      <c r="F993" s="1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11"/>
      <c r="F994" s="1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11"/>
      <c r="F995" s="1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11"/>
      <c r="F996" s="1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11"/>
      <c r="F997" s="1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11"/>
      <c r="F998" s="1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11"/>
      <c r="F999" s="1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11"/>
      <c r="F1000" s="1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