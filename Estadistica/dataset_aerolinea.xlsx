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/>
  <mc:AlternateContent xmlns:mc="http://schemas.openxmlformats.org/markup-compatibility/2006">
    <mc:Choice Requires="x15">
      <x15ac:absPath xmlns:x15ac="http://schemas.microsoft.com/office/spreadsheetml/2010/11/ac" url="/Users/danielaarias/Library/Mobile Documents/com~apple~CloudDocs/2026/utnEstadistica/TUA/Excel clases/"/>
    </mc:Choice>
  </mc:AlternateContent>
  <xr:revisionPtr revIDLastSave="0" documentId="13_ncr:1_{5B377830-421D-4449-B234-D9F82F19F043}" xr6:coauthVersionLast="47" xr6:coauthVersionMax="47" xr10:uidLastSave="{00000000-0000-0000-0000-000000000000}"/>
  <bookViews>
    <workbookView xWindow="0" yWindow="500" windowWidth="28800" windowHeight="15720" activeTab="4" xr2:uid="{00000000-000D-0000-FFFF-FFFF00000000}"/>
  </bookViews>
  <sheets>
    <sheet name="Datos Crudos" sheetId="7" r:id="rId1"/>
    <sheet name="Consignas" sheetId="2" r:id="rId2"/>
    <sheet name="Datos" sheetId="1" r:id="rId3"/>
    <sheet name="Tablas" sheetId="3" r:id="rId4"/>
    <sheet name="panel" sheetId="4" r:id="rId5"/>
  </sheets>
  <calcPr calcId="191029"/>
  <pivotCaches>
    <pivotCache cacheId="9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7" l="1"/>
  <c r="N5" i="7"/>
  <c r="N3" i="7"/>
  <c r="K3" i="7"/>
  <c r="K9" i="7" s="1"/>
  <c r="K8" i="7"/>
  <c r="K7" i="7"/>
  <c r="K6" i="7"/>
  <c r="K5" i="7"/>
  <c r="K4" i="7"/>
</calcChain>
</file>

<file path=xl/sharedStrings.xml><?xml version="1.0" encoding="utf-8"?>
<sst xmlns="http://schemas.openxmlformats.org/spreadsheetml/2006/main" count="364" uniqueCount="42">
  <si>
    <t>Mes</t>
  </si>
  <si>
    <t>Ruta</t>
  </si>
  <si>
    <t>Clase</t>
  </si>
  <si>
    <t>Pasajeros</t>
  </si>
  <si>
    <t>Enero</t>
  </si>
  <si>
    <t>Buenos Aires - Córdoba</t>
  </si>
  <si>
    <t>Economy</t>
  </si>
  <si>
    <t>Alta</t>
  </si>
  <si>
    <t>Buenos Aires - Mendoza</t>
  </si>
  <si>
    <t>Media</t>
  </si>
  <si>
    <t>Buenos Aires - Bariloche</t>
  </si>
  <si>
    <t>Febrero</t>
  </si>
  <si>
    <t>Marzo</t>
  </si>
  <si>
    <t>Abril</t>
  </si>
  <si>
    <t>Mayo</t>
  </si>
  <si>
    <t>Junio</t>
  </si>
  <si>
    <t>Business</t>
  </si>
  <si>
    <t>Baja</t>
  </si>
  <si>
    <t>Precio Promedio en USD</t>
  </si>
  <si>
    <t>Ingresos  USD</t>
  </si>
  <si>
    <t>NivelOcupacion</t>
  </si>
  <si>
    <t>Cantidad de Vuelos x mes</t>
  </si>
  <si>
    <t>Suma de Pasajeros</t>
  </si>
  <si>
    <t>Etiquetas de fila</t>
  </si>
  <si>
    <t>Total general</t>
  </si>
  <si>
    <t>2) Clasificar las variables</t>
  </si>
  <si>
    <t>3) Armar tablas de Distribucion de Frecuencias  y graficos convenientes para responder las preguntas:</t>
  </si>
  <si>
    <t>Introducción al análisis descriptivo</t>
  </si>
  <si>
    <r>
      <t xml:space="preserve">a) ¿Qué </t>
    </r>
    <r>
      <rPr>
        <b/>
        <sz val="18"/>
        <color theme="1"/>
        <rFont val="Calibri"/>
        <family val="2"/>
        <scheme val="minor"/>
      </rPr>
      <t>clase transporta más pasajeros</t>
    </r>
    <r>
      <rPr>
        <sz val="18"/>
        <color theme="1"/>
        <rFont val="Calibri"/>
        <family val="2"/>
        <scheme val="minor"/>
      </rPr>
      <t>?</t>
    </r>
  </si>
  <si>
    <r>
      <t xml:space="preserve">c) ¿Qué </t>
    </r>
    <r>
      <rPr>
        <b/>
        <sz val="18"/>
        <color theme="1"/>
        <rFont val="Calibri"/>
        <family val="2"/>
        <scheme val="minor"/>
      </rPr>
      <t>mes tiene mayor ingreso total</t>
    </r>
    <r>
      <rPr>
        <sz val="18"/>
        <color theme="1"/>
        <rFont val="Calibri"/>
        <family val="2"/>
        <scheme val="minor"/>
      </rPr>
      <t>?</t>
    </r>
  </si>
  <si>
    <t>1)  Identificar las variables del dataset</t>
  </si>
  <si>
    <r>
      <t xml:space="preserve">b)¿Cuál es la </t>
    </r>
    <r>
      <rPr>
        <b/>
        <sz val="18"/>
        <color theme="1"/>
        <rFont val="Calibri"/>
        <family val="2"/>
        <scheme val="minor"/>
      </rPr>
      <t xml:space="preserve">ruta con más pasajeros </t>
    </r>
    <r>
      <rPr>
        <sz val="18"/>
        <color theme="1"/>
        <rFont val="Calibri"/>
        <family val="2"/>
        <scheme val="minor"/>
      </rPr>
      <t>?</t>
    </r>
  </si>
  <si>
    <t>Suma de Ingresos  USD</t>
  </si>
  <si>
    <t>d) Cuáles son los destinos más frecuentes por mes?</t>
  </si>
  <si>
    <t>Precio promedio en USD</t>
  </si>
  <si>
    <t>Ingresos USD</t>
  </si>
  <si>
    <t>Nivel de ocupación</t>
  </si>
  <si>
    <t>Cantidad de vuelos por mes</t>
  </si>
  <si>
    <t>f</t>
  </si>
  <si>
    <t xml:space="preserve">Meses </t>
  </si>
  <si>
    <t>Total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</si>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</sst>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NumberFormat="1" applyFont="1"/>
    <xf numFmtId="0" fontId="3" fillId="0" borderId="0" xfId="0" applyFont="1" applyAlignment="1">
      <alignment horizontal="left" indent="1"/>
    </xf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2" borderId="1" xfId="0" applyFill="1" applyBorder="1"/>
    <xf numFmtId="0" fontId="0" fillId="2" borderId="2" xfId="0" applyFill="1" applyBorder="1"/>
    <xf numFmtId="0" fontId="5" fillId="0" borderId="0" xfId="0" applyFont="1"/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[dataset_aerolinea.xlsx]Tablas!TablaDinámica2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</c:pivotFmt>
      <c:pivotFmt>
        <c:idx val="4"/>
        <c:spPr>
          <a:solidFill>
            <a:schemeClr val="tx2">
              <a:lumMod val="60000"/>
              <a:lumOff val="4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398C2CF-9C6F-B44B-A19C-11202E8C96B2}" type="CATEGORYNAME">
                  <a:rPr lang="en-US"/>
                  <a:pPr>
                    <a:defRPr sz="1800" b="1"/>
                  </a:pPr>
                  <a:t>[NOMBRE DE CATEGORÍA]</a:t>
                </a:fld>
                <a:endParaRPr lang="en-US" baseline="0"/>
              </a:p>
              <a:p>
                <a:pPr>
                  <a:defRPr sz="1800" b="1"/>
                </a:pPr>
                <a:fld id="{60D50952-80E8-1F44-B8EB-CDF61608512C}" type="PERCENTAGE">
                  <a:rPr lang="en-US" baseline="0"/>
                  <a:pPr>
                    <a:defRPr sz="1800" b="1"/>
                  </a:pPr>
                  <a:t>[PORCENTAJE]</a:t>
                </a:fld>
                <a:endParaRPr lang="es-MX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985571863706406"/>
                  <c:h val="0.29097531738632265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Tablas!$B$1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9F-D446-A72B-114C57516C78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69F-D446-A72B-114C57516C78}"/>
              </c:ext>
            </c:extLst>
          </c:dPt>
          <c:dLbls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8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398C2CF-9C6F-B44B-A19C-11202E8C96B2}" type="CATEGORYNAME">
                      <a:rPr lang="en-US"/>
                      <a:pPr>
                        <a:defRPr sz="1800" b="1"/>
                      </a:pPr>
                      <a:t>[NOMBRE DE CATEGORÍA]</a:t>
                    </a:fld>
                    <a:endParaRPr lang="en-US" baseline="0"/>
                  </a:p>
                  <a:p>
                    <a:pPr>
                      <a:defRPr sz="1800" b="1"/>
                    </a:pPr>
                    <a:fld id="{60D50952-80E8-1F44-B8EB-CDF61608512C}" type="PERCENTAGE">
                      <a:rPr lang="en-US" baseline="0"/>
                      <a:pPr>
                        <a:defRPr sz="1800" b="1"/>
                      </a:pPr>
                      <a:t>[PORCENTAJE]</a:t>
                    </a:fld>
                    <a:endParaRPr lang="es-MX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85571863706406"/>
                      <c:h val="0.2909753173863226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69F-D446-A72B-114C57516C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Tablas!$A$2:$A$4</c:f>
              <c:strCache>
                <c:ptCount val="2"/>
                <c:pt idx="0">
                  <c:v>Business</c:v>
                </c:pt>
                <c:pt idx="1">
                  <c:v>Economy</c:v>
                </c:pt>
              </c:strCache>
            </c:strRef>
          </c:cat>
          <c:val>
            <c:numRef>
              <c:f>Tablas!$B$2:$B$4</c:f>
              <c:numCache>
                <c:formatCode>General</c:formatCode>
                <c:ptCount val="2"/>
                <c:pt idx="0">
                  <c:v>746</c:v>
                </c:pt>
                <c:pt idx="1">
                  <c:v>3345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F-D446-A72B-114C57516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[dataset_aerolinea.xlsx]Tablas!TablaDinámica3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741911223859433"/>
          <c:y val="9.9620009649708519E-2"/>
          <c:w val="0.52386439195100609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Tablas!$A$8:$A$11</c:f>
              <c:strCache>
                <c:ptCount val="3"/>
                <c:pt idx="0">
                  <c:v>Buenos Aires - Bariloche</c:v>
                </c:pt>
                <c:pt idx="1">
                  <c:v>Buenos Aires - Córdoba</c:v>
                </c:pt>
                <c:pt idx="2">
                  <c:v>Buenos Aires - Mendoza</c:v>
                </c:pt>
              </c:strCache>
            </c:strRef>
          </c:cat>
          <c:val>
            <c:numRef>
              <c:f>Tablas!$B$8:$B$11</c:f>
              <c:numCache>
                <c:formatCode>General</c:formatCode>
                <c:ptCount val="3"/>
                <c:pt idx="0">
                  <c:v>1309</c:v>
                </c:pt>
                <c:pt idx="1">
                  <c:v>1486</c:v>
                </c:pt>
                <c:pt idx="2">
                  <c:v>1296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E-0F49-8EE7-686797C34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7675680"/>
        <c:axId val="362700191"/>
      </c:barChart>
      <c:catAx>
        <c:axId val="205767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62700191"/>
        <c:crosses val="autoZero"/>
        <c:auto val="1"/>
        <c:lblAlgn val="ctr"/>
        <c:lblOffset val="100"/>
        <c:noMultiLvlLbl val="0"/>
      </c:catAx>
      <c:valAx>
        <c:axId val="362700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76756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[dataset_aerolinea.xlsx]Tablas!TablaDinámica4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954302482243998E-2"/>
          <c:y val="8.0828454135540753E-2"/>
          <c:w val="0.90153472242188593"/>
          <c:h val="0.66193723392231474"/>
        </c:manualLayout>
      </c:layout>
      <c:lineChart>
        <c:grouping val="standard"/>
        <c:varyColors val="0"/>
        <c:ser>
          <c:idx val="0"/>
          <c:order val="0"/>
          <c:tx>
            <c:strRef>
              <c:f>Tablas!$B$14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Tablas!$A$15:$A$21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Tablas!$B$15:$B$21</c:f>
              <c:numCache>
                <c:formatCode>General</c:formatCode>
                <c:ptCount val="6"/>
                <c:pt idx="0">
                  <c:v>665</c:v>
                </c:pt>
                <c:pt idx="1">
                  <c:v>632</c:v>
                </c:pt>
                <c:pt idx="2">
                  <c:v>706</c:v>
                </c:pt>
                <c:pt idx="3">
                  <c:v>658</c:v>
                </c:pt>
                <c:pt idx="4">
                  <c:v>699</c:v>
                </c:pt>
                <c:pt idx="5">
                  <c:v>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2-E847-BF6E-34B2E7F88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727503"/>
        <c:axId val="362543727"/>
      </c:lineChart>
      <c:catAx>
        <c:axId val="36272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62543727"/>
        <c:crosses val="autoZero"/>
        <c:auto val="1"/>
        <c:lblAlgn val="ctr"/>
        <c:lblOffset val="100"/>
        <c:noMultiLvlLbl val="0"/>
      </c:catAx>
      <c:valAx>
        <c:axId val="3625437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27275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[dataset_aerolinea.xlsx]Tablas!TablaDinámica6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956446849353682"/>
          <c:y val="4.5454545454545456E-2"/>
          <c:w val="0.60412048999749635"/>
          <c:h val="0.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Tablas!$E$3:$E$9</c:f>
              <c:multiLvlStrCache>
                <c:ptCount val="3"/>
                <c:lvl>
                  <c:pt idx="0">
                    <c:v>Abril</c:v>
                  </c:pt>
                  <c:pt idx="1">
                    <c:v>Abril</c:v>
                  </c:pt>
                  <c:pt idx="2">
                    <c:v>Abril</c:v>
                  </c:pt>
                </c:lvl>
                <c:lvl>
                  <c:pt idx="0">
                    <c:v>Buenos Aires - Bariloche</c:v>
                  </c:pt>
                  <c:pt idx="1">
                    <c:v>Buenos Aires - Córdoba</c:v>
                  </c:pt>
                  <c:pt idx="2">
                    <c:v>Buenos Aires - Mendoza</c:v>
                  </c:pt>
                </c:lvl>
              </c:multiLvlStrCache>
            </c:multiLvlStrRef>
          </c:cat>
          <c:val>
            <c:numRef>
              <c:f>Tablas!$F$3:$F$9</c:f>
              <c:numCache>
                <c:formatCode>General</c:formatCode>
                <c:ptCount val="3"/>
                <c:pt idx="0">
                  <c:v>209</c:v>
                </c:pt>
                <c:pt idx="1">
                  <c:v>241</c:v>
                </c:pt>
                <c:pt idx="2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1-5844-8A5B-14908AEF3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5089680"/>
        <c:axId val="2074810192"/>
      </c:barChart>
      <c:catAx>
        <c:axId val="207508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74810192"/>
        <c:crosses val="autoZero"/>
        <c:auto val="1"/>
        <c:lblAlgn val="ctr"/>
        <c:lblOffset val="100"/>
        <c:noMultiLvlLbl val="0"/>
      </c:catAx>
      <c:valAx>
        <c:axId val="20748101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750896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[dataset_aerolinea.xlsx]Tablas!TablaDinámica7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Tablas!$E$13:$E$19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Tablas!$F$13:$F$19</c:f>
              <c:numCache>
                <c:formatCode>General</c:formatCode>
                <c:ptCount val="6"/>
                <c:pt idx="0">
                  <c:v>102000</c:v>
                </c:pt>
                <c:pt idx="1">
                  <c:v>115955</c:v>
                </c:pt>
                <c:pt idx="2">
                  <c:v>130890</c:v>
                </c:pt>
                <c:pt idx="3">
                  <c:v>120485</c:v>
                </c:pt>
                <c:pt idx="4">
                  <c:v>131741</c:v>
                </c:pt>
                <c:pt idx="5">
                  <c:v>140640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D-3342-B0B0-D65666029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172927"/>
        <c:axId val="2091044128"/>
      </c:barChart>
      <c:catAx>
        <c:axId val="13217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91044128"/>
        <c:crosses val="autoZero"/>
        <c:auto val="1"/>
        <c:lblAlgn val="ctr"/>
        <c:lblOffset val="100"/>
        <c:noMultiLvlLbl val="0"/>
      </c:catAx>
      <c:valAx>
        <c:axId val="2091044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17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88900</xdr:rowOff>
    </xdr:from>
    <xdr:to>
      <xdr:col>20</xdr:col>
      <xdr:colOff>749300</xdr:colOff>
      <xdr:row>40</xdr:row>
      <xdr:rowOff>50800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0848746B-C6D5-7681-CCD0-B7DFD81C6042}"/>
            </a:ext>
          </a:extLst>
        </xdr:cNvPr>
        <xdr:cNvGrpSpPr/>
      </xdr:nvGrpSpPr>
      <xdr:grpSpPr>
        <a:xfrm>
          <a:off x="63500" y="88900"/>
          <a:ext cx="17195800" cy="7581900"/>
          <a:chOff x="381000" y="76200"/>
          <a:chExt cx="17195800" cy="8318500"/>
        </a:xfrm>
      </xdr:grpSpPr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335B63BD-1C1C-446E-4C0E-4951B7F6A56E}"/>
              </a:ext>
            </a:extLst>
          </xdr:cNvPr>
          <xdr:cNvGrpSpPr/>
        </xdr:nvGrpSpPr>
        <xdr:grpSpPr>
          <a:xfrm>
            <a:off x="381000" y="76200"/>
            <a:ext cx="17195800" cy="8318500"/>
            <a:chOff x="469900" y="0"/>
            <a:chExt cx="17195800" cy="8318500"/>
          </a:xfrm>
        </xdr:grpSpPr>
        <xdr:grpSp>
          <xdr:nvGrpSpPr>
            <xdr:cNvPr id="11" name="Grupo 10">
              <a:extLst>
                <a:ext uri="{FF2B5EF4-FFF2-40B4-BE49-F238E27FC236}">
                  <a16:creationId xmlns:a16="http://schemas.microsoft.com/office/drawing/2014/main" id="{1957BF37-4847-BA29-4BAD-07CEFEDB8E4C}"/>
                </a:ext>
              </a:extLst>
            </xdr:cNvPr>
            <xdr:cNvGrpSpPr/>
          </xdr:nvGrpSpPr>
          <xdr:grpSpPr>
            <a:xfrm>
              <a:off x="469900" y="0"/>
              <a:ext cx="17195800" cy="8318500"/>
              <a:chOff x="150886" y="63500"/>
              <a:chExt cx="20268538" cy="8318500"/>
            </a:xfrm>
          </xdr:grpSpPr>
          <xdr:grpSp>
            <xdr:nvGrpSpPr>
              <xdr:cNvPr id="9" name="Grupo 8">
                <a:extLst>
                  <a:ext uri="{FF2B5EF4-FFF2-40B4-BE49-F238E27FC236}">
                    <a16:creationId xmlns:a16="http://schemas.microsoft.com/office/drawing/2014/main" id="{AC3021C7-544C-CB30-1799-BF0A05322BA3}"/>
                  </a:ext>
                </a:extLst>
              </xdr:cNvPr>
              <xdr:cNvGrpSpPr/>
            </xdr:nvGrpSpPr>
            <xdr:grpSpPr>
              <a:xfrm>
                <a:off x="150886" y="63500"/>
                <a:ext cx="20268538" cy="8318500"/>
                <a:chOff x="-344414" y="76200"/>
                <a:chExt cx="20268538" cy="8318500"/>
              </a:xfrm>
            </xdr:grpSpPr>
            <xdr:grpSp>
              <xdr:nvGrpSpPr>
                <xdr:cNvPr id="6" name="Grupo 5">
                  <a:extLst>
                    <a:ext uri="{FF2B5EF4-FFF2-40B4-BE49-F238E27FC236}">
                      <a16:creationId xmlns:a16="http://schemas.microsoft.com/office/drawing/2014/main" id="{C8B27FCA-EE61-02BD-45BB-5D96170F29BC}"/>
                    </a:ext>
                  </a:extLst>
                </xdr:cNvPr>
                <xdr:cNvGrpSpPr/>
              </xdr:nvGrpSpPr>
              <xdr:grpSpPr>
                <a:xfrm>
                  <a:off x="-344414" y="76200"/>
                  <a:ext cx="20268538" cy="8318500"/>
                  <a:chOff x="-401573" y="46095"/>
                  <a:chExt cx="23632326" cy="10063969"/>
                </a:xfrm>
              </xdr:grpSpPr>
              <xdr:grpSp>
                <xdr:nvGrpSpPr>
                  <xdr:cNvPr id="4" name="Grupo 3">
                    <a:extLst>
                      <a:ext uri="{FF2B5EF4-FFF2-40B4-BE49-F238E27FC236}">
                        <a16:creationId xmlns:a16="http://schemas.microsoft.com/office/drawing/2014/main" id="{8A1237F7-A7B6-180C-5330-A2EE2552C759}"/>
                      </a:ext>
                    </a:extLst>
                  </xdr:cNvPr>
                  <xdr:cNvGrpSpPr/>
                </xdr:nvGrpSpPr>
                <xdr:grpSpPr>
                  <a:xfrm>
                    <a:off x="-401573" y="46095"/>
                    <a:ext cx="23632326" cy="10063969"/>
                    <a:chOff x="-401573" y="160395"/>
                    <a:chExt cx="23632326" cy="10063969"/>
                  </a:xfrm>
                </xdr:grpSpPr>
                <xdr:sp macro="" textlink="">
                  <xdr:nvSpPr>
                    <xdr:cNvPr id="2" name="Rectángulo redondeado 1">
                      <a:extLst>
                        <a:ext uri="{FF2B5EF4-FFF2-40B4-BE49-F238E27FC236}">
                          <a16:creationId xmlns:a16="http://schemas.microsoft.com/office/drawing/2014/main" id="{3AE11ACE-EBBF-DEDE-E154-2BEC92287013}"/>
                        </a:ext>
                      </a:extLst>
                    </xdr:cNvPr>
                    <xdr:cNvSpPr/>
                  </xdr:nvSpPr>
                  <xdr:spPr>
                    <a:xfrm>
                      <a:off x="-401573" y="160395"/>
                      <a:ext cx="23632326" cy="10063969"/>
                    </a:xfrm>
                    <a:prstGeom prst="roundRect">
                      <a:avLst/>
                    </a:prstGeom>
                    <a:solidFill>
                      <a:schemeClr val="bg2">
                        <a:lumMod val="90000"/>
                      </a:schemeClr>
                    </a:solidFill>
                    <a:ln>
                      <a:solidFill>
                        <a:schemeClr val="accent5">
                          <a:lumMod val="40000"/>
                          <a:lumOff val="60000"/>
                        </a:schemeClr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s-MX" sz="1100"/>
                    </a:p>
                  </xdr:txBody>
                </xdr:sp>
                <xdr:graphicFrame macro="">
                  <xdr:nvGraphicFramePr>
                    <xdr:cNvPr id="3" name="Gráfico 2">
                      <a:extLst>
                        <a:ext uri="{FF2B5EF4-FFF2-40B4-BE49-F238E27FC236}">
                          <a16:creationId xmlns:a16="http://schemas.microsoft.com/office/drawing/2014/main" id="{6BD5DACF-9EEB-7C4A-BBF4-3057DF73C25D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6440282" y="312795"/>
                    <a:ext cx="6265883" cy="3473702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1"/>
                    </a:graphicData>
                  </a:graphic>
                </xdr:graphicFrame>
              </xdr:grpSp>
              <xdr:graphicFrame macro="">
                <xdr:nvGraphicFramePr>
                  <xdr:cNvPr id="5" name="Gráfico 4">
                    <a:extLst>
                      <a:ext uri="{FF2B5EF4-FFF2-40B4-BE49-F238E27FC236}">
                        <a16:creationId xmlns:a16="http://schemas.microsoft.com/office/drawing/2014/main" id="{84D0CE55-6604-FA4F-AFB9-5EC33C144D4F}"/>
                      </a:ext>
                    </a:extLst>
                  </xdr:cNvPr>
                  <xdr:cNvGraphicFramePr>
                    <a:graphicFrameLocks/>
                  </xdr:cNvGraphicFramePr>
                </xdr:nvGraphicFramePr>
                <xdr:xfrm>
                  <a:off x="12968373" y="206920"/>
                  <a:ext cx="6946175" cy="3403816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2"/>
                  </a:graphicData>
                </a:graphic>
              </xdr:graphicFrame>
            </xdr:grpSp>
            <xdr:graphicFrame macro="">
              <xdr:nvGraphicFramePr>
                <xdr:cNvPr id="7" name="Gráfico 6">
                  <a:extLst>
                    <a:ext uri="{FF2B5EF4-FFF2-40B4-BE49-F238E27FC236}">
                      <a16:creationId xmlns:a16="http://schemas.microsoft.com/office/drawing/2014/main" id="{FC9815AE-76E0-5F44-8CFA-59C7D5D8498B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2115462" y="3263900"/>
                <a:ext cx="5785418" cy="281940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"/>
                </a:graphicData>
              </a:graphic>
            </xdr:graphicFrame>
            <xdr:graphicFrame macro="">
              <xdr:nvGraphicFramePr>
                <xdr:cNvPr id="8" name="Gráfico 7">
                  <a:extLst>
                    <a:ext uri="{FF2B5EF4-FFF2-40B4-BE49-F238E27FC236}">
                      <a16:creationId xmlns:a16="http://schemas.microsoft.com/office/drawing/2014/main" id="{79981FD5-5C92-B540-9ABE-8419E3851F6F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6958930" y="3340100"/>
                <a:ext cx="4740865" cy="279400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sp macro="" textlink="">
            <xdr:nvSpPr>
              <xdr:cNvPr id="13" name="CuadroTexto 12">
                <a:extLst>
                  <a:ext uri="{FF2B5EF4-FFF2-40B4-BE49-F238E27FC236}">
                    <a16:creationId xmlns:a16="http://schemas.microsoft.com/office/drawing/2014/main" id="{EEE82363-2FCC-A5BC-F847-CC7688255114}"/>
                  </a:ext>
                </a:extLst>
              </xdr:cNvPr>
              <xdr:cNvSpPr txBox="1"/>
            </xdr:nvSpPr>
            <xdr:spPr>
              <a:xfrm>
                <a:off x="2291507" y="330200"/>
                <a:ext cx="3233386" cy="175370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s-MX" sz="2000" b="1"/>
                  <a:t>Demanda</a:t>
                </a:r>
                <a:r>
                  <a:rPr lang="es-MX" sz="2000" b="1" baseline="0"/>
                  <a:t> de vuelos  primer semestre  2025</a:t>
                </a:r>
                <a:endParaRPr lang="es-MX" sz="2000" b="1"/>
              </a:p>
            </xdr:txBody>
          </xdr:sp>
        </xdr:grpSp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2422221F-564E-9543-861D-B206F5418FCC}"/>
                </a:ext>
              </a:extLst>
            </xdr:cNvPr>
            <xdr:cNvGraphicFramePr>
              <a:graphicFrameLocks/>
            </xdr:cNvGraphicFramePr>
          </xdr:nvGraphicFramePr>
          <xdr:xfrm>
            <a:off x="1689100" y="3314700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pic>
        <xdr:nvPicPr>
          <xdr:cNvPr id="16" name="Gráfico 15" descr="Bar chart con relleno sólido">
            <a:extLst>
              <a:ext uri="{FF2B5EF4-FFF2-40B4-BE49-F238E27FC236}">
                <a16:creationId xmlns:a16="http://schemas.microsoft.com/office/drawing/2014/main" id="{7565B435-9BDA-027E-527F-F122149A74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695700" y="1092200"/>
            <a:ext cx="914400" cy="91440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a Arias" refreshedDate="46094.81442476852" createdVersion="8" refreshedVersion="8" minRefreshableVersion="3" recordCount="36" xr:uid="{2BB1D007-4212-1F4B-8037-228338E9B951}">
  <cacheSource type="worksheet">
    <worksheetSource name="Tabla2"/>
  </cacheSource>
  <cacheFields count="8">
    <cacheField name="Mes" numFmtId="0">
      <sharedItems count="6">
        <s v="Enero"/>
        <s v="Febrero"/>
        <s v="Marzo"/>
        <s v="Abril"/>
        <s v="Mayo"/>
        <s v="Junio"/>
      </sharedItems>
    </cacheField>
    <cacheField name="Ruta" numFmtId="0">
      <sharedItems count="3">
        <s v="Buenos Aires - Córdoba"/>
        <s v="Buenos Aires - Mendoza"/>
        <s v="Buenos Aires - Bariloche"/>
      </sharedItems>
    </cacheField>
    <cacheField name="Clase" numFmtId="0">
      <sharedItems count="2">
        <s v="Economy"/>
        <s v="Business"/>
      </sharedItems>
    </cacheField>
    <cacheField name="Pasajeros" numFmtId="0">
      <sharedItems containsSemiMixedTypes="0" containsString="0" containsNumber="1" containsInteger="1" minValue="30" maxValue="215"/>
    </cacheField>
    <cacheField name="Precio Promedio en USD" numFmtId="0">
      <sharedItems containsSemiMixedTypes="0" containsString="0" containsNumber="1" containsInteger="1" minValue="120" maxValue="390"/>
    </cacheField>
    <cacheField name="Ingresos  USD" numFmtId="0">
      <sharedItems containsSemiMixedTypes="0" containsString="0" containsNumber="1" containsInteger="1" minValue="10800" maxValue="32175"/>
    </cacheField>
    <cacheField name="NivelOcupacion" numFmtId="0">
      <sharedItems/>
    </cacheField>
    <cacheField name="Cantidad de Vuelos x mes" numFmtId="0">
      <sharedItems containsSemiMixedTypes="0" containsString="0" containsNumber="1" containsInteger="1" minValue="18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200"/>
    <n v="120"/>
    <n v="21600"/>
    <s v="Alta"/>
    <n v="25"/>
  </r>
  <r>
    <x v="0"/>
    <x v="1"/>
    <x v="0"/>
    <n v="180"/>
    <n v="140"/>
    <n v="22400"/>
    <s v="Media"/>
    <n v="20"/>
  </r>
  <r>
    <x v="0"/>
    <x v="2"/>
    <x v="0"/>
    <n v="180"/>
    <n v="150"/>
    <n v="22500"/>
    <s v="Media"/>
    <n v="18"/>
  </r>
  <r>
    <x v="1"/>
    <x v="0"/>
    <x v="0"/>
    <n v="180"/>
    <n v="125"/>
    <n v="25000"/>
    <s v="Alta"/>
    <n v="28"/>
  </r>
  <r>
    <x v="1"/>
    <x v="1"/>
    <x v="0"/>
    <n v="170"/>
    <n v="145"/>
    <n v="24650"/>
    <s v="Media"/>
    <n v="22"/>
  </r>
  <r>
    <x v="1"/>
    <x v="2"/>
    <x v="0"/>
    <n v="165"/>
    <n v="155"/>
    <n v="25575"/>
    <s v="Media"/>
    <n v="20"/>
  </r>
  <r>
    <x v="2"/>
    <x v="0"/>
    <x v="0"/>
    <n v="210"/>
    <n v="130"/>
    <n v="27300"/>
    <s v="Alta"/>
    <n v="30"/>
  </r>
  <r>
    <x v="2"/>
    <x v="1"/>
    <x v="0"/>
    <n v="175"/>
    <n v="150"/>
    <n v="26250"/>
    <s v="Media"/>
    <n v="24"/>
  </r>
  <r>
    <x v="2"/>
    <x v="2"/>
    <x v="0"/>
    <n v="190"/>
    <n v="160"/>
    <n v="30400"/>
    <s v="Alta"/>
    <n v="22"/>
  </r>
  <r>
    <x v="3"/>
    <x v="0"/>
    <x v="0"/>
    <n v="195"/>
    <n v="128"/>
    <n v="24960"/>
    <s v="Alta"/>
    <n v="27"/>
  </r>
  <r>
    <x v="3"/>
    <x v="1"/>
    <x v="0"/>
    <n v="168"/>
    <n v="148"/>
    <n v="24864"/>
    <s v="Media"/>
    <n v="21"/>
  </r>
  <r>
    <x v="3"/>
    <x v="2"/>
    <x v="0"/>
    <n v="172"/>
    <n v="158"/>
    <n v="27176"/>
    <s v="Media"/>
    <n v="19"/>
  </r>
  <r>
    <x v="4"/>
    <x v="0"/>
    <x v="0"/>
    <n v="205"/>
    <n v="132"/>
    <n v="27060"/>
    <s v="Alta"/>
    <n v="29"/>
  </r>
  <r>
    <x v="4"/>
    <x v="1"/>
    <x v="0"/>
    <n v="178"/>
    <n v="152"/>
    <n v="27056"/>
    <s v="Media"/>
    <n v="23"/>
  </r>
  <r>
    <x v="4"/>
    <x v="2"/>
    <x v="0"/>
    <n v="185"/>
    <n v="162"/>
    <n v="29970"/>
    <s v="Alta"/>
    <n v="21"/>
  </r>
  <r>
    <x v="5"/>
    <x v="0"/>
    <x v="0"/>
    <n v="215"/>
    <n v="135"/>
    <n v="29025"/>
    <s v="Alta"/>
    <n v="31"/>
  </r>
  <r>
    <x v="5"/>
    <x v="1"/>
    <x v="0"/>
    <n v="182"/>
    <n v="155"/>
    <n v="28210"/>
    <s v="Alta"/>
    <n v="24"/>
  </r>
  <r>
    <x v="5"/>
    <x v="2"/>
    <x v="0"/>
    <n v="195"/>
    <n v="165"/>
    <n v="32175"/>
    <s v="Alta"/>
    <n v="22"/>
  </r>
  <r>
    <x v="0"/>
    <x v="0"/>
    <x v="1"/>
    <n v="40"/>
    <n v="320"/>
    <n v="12800"/>
    <s v="Baja"/>
    <n v="25"/>
  </r>
  <r>
    <x v="0"/>
    <x v="1"/>
    <x v="1"/>
    <n v="35"/>
    <n v="340"/>
    <n v="11900"/>
    <s v="Baja"/>
    <n v="20"/>
  </r>
  <r>
    <x v="0"/>
    <x v="2"/>
    <x v="1"/>
    <n v="30"/>
    <n v="360"/>
    <n v="10800"/>
    <s v="Baja"/>
    <n v="18"/>
  </r>
  <r>
    <x v="1"/>
    <x v="0"/>
    <x v="1"/>
    <n v="45"/>
    <n v="330"/>
    <n v="14850"/>
    <s v="Baja"/>
    <n v="28"/>
  </r>
  <r>
    <x v="1"/>
    <x v="1"/>
    <x v="1"/>
    <n v="38"/>
    <n v="350"/>
    <n v="13300"/>
    <s v="Baja"/>
    <n v="22"/>
  </r>
  <r>
    <x v="1"/>
    <x v="2"/>
    <x v="1"/>
    <n v="34"/>
    <n v="370"/>
    <n v="12580"/>
    <s v="Baja"/>
    <n v="20"/>
  </r>
  <r>
    <x v="2"/>
    <x v="0"/>
    <x v="1"/>
    <n v="50"/>
    <n v="340"/>
    <n v="17000"/>
    <s v="Baja"/>
    <n v="30"/>
  </r>
  <r>
    <x v="2"/>
    <x v="1"/>
    <x v="1"/>
    <n v="42"/>
    <n v="360"/>
    <n v="15120"/>
    <s v="Baja"/>
    <n v="24"/>
  </r>
  <r>
    <x v="2"/>
    <x v="2"/>
    <x v="1"/>
    <n v="39"/>
    <n v="380"/>
    <n v="14820"/>
    <s v="Baja"/>
    <n v="22"/>
  </r>
  <r>
    <x v="3"/>
    <x v="0"/>
    <x v="1"/>
    <n v="46"/>
    <n v="335"/>
    <n v="15410"/>
    <s v="Baja"/>
    <n v="27"/>
  </r>
  <r>
    <x v="3"/>
    <x v="1"/>
    <x v="1"/>
    <n v="40"/>
    <n v="355"/>
    <n v="14200"/>
    <s v="Baja"/>
    <n v="21"/>
  </r>
  <r>
    <x v="3"/>
    <x v="2"/>
    <x v="1"/>
    <n v="37"/>
    <n v="375"/>
    <n v="13875"/>
    <s v="Baja"/>
    <n v="19"/>
  </r>
  <r>
    <x v="4"/>
    <x v="0"/>
    <x v="1"/>
    <n v="48"/>
    <n v="345"/>
    <n v="16560"/>
    <s v="Baja"/>
    <n v="29"/>
  </r>
  <r>
    <x v="4"/>
    <x v="1"/>
    <x v="1"/>
    <n v="43"/>
    <n v="365"/>
    <n v="15695"/>
    <s v="Baja"/>
    <n v="23"/>
  </r>
  <r>
    <x v="4"/>
    <x v="2"/>
    <x v="1"/>
    <n v="40"/>
    <n v="385"/>
    <n v="15400"/>
    <s v="Baja"/>
    <n v="21"/>
  </r>
  <r>
    <x v="5"/>
    <x v="0"/>
    <x v="1"/>
    <n v="52"/>
    <n v="350"/>
    <n v="18200"/>
    <s v="Baja"/>
    <n v="31"/>
  </r>
  <r>
    <x v="5"/>
    <x v="1"/>
    <x v="1"/>
    <n v="45"/>
    <n v="370"/>
    <n v="16650"/>
    <s v="Baja"/>
    <n v="24"/>
  </r>
  <r>
    <x v="5"/>
    <x v="2"/>
    <x v="1"/>
    <n v="42"/>
    <n v="390"/>
    <n v="16380"/>
    <s v="Baja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1D515-7A7F-CE43-B2E3-45ABB2280014}" name="TablaDinámica7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E12:F19" firstHeaderRow="1" firstDataRow="1" firstDataCol="1"/>
  <pivotFields count="8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Ingresos  USD" fld="5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175C5-66D8-9040-AE78-363FD0C76CCC}" name="TablaDinámica6" cacheId="9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E2:F9" firstHeaderRow="1" firstDataRow="1" firstDataCol="1"/>
  <pivotFields count="8">
    <pivotField axis="axisRow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2">
    <field x="1"/>
    <field x="0"/>
  </rowFields>
  <rowItems count="7">
    <i>
      <x/>
    </i>
    <i r="1">
      <x v="3"/>
    </i>
    <i>
      <x v="1"/>
    </i>
    <i r="1">
      <x v="3"/>
    </i>
    <i>
      <x v="2"/>
    </i>
    <i r="1">
      <x v="3"/>
    </i>
    <i t="grand">
      <x/>
    </i>
  </rowItems>
  <colItems count="1">
    <i/>
  </colItems>
  <dataFields count="1">
    <dataField name="Suma de Pasajeros" fld="3" baseField="0" baseItem="0"/>
  </dataFields>
  <formats count="9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29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28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27">
      <pivotArea dataOnly="0" labelOnly="1" outline="0" axis="axisValues" fieldPosition="0"/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6BEE7-806A-5B4F-81A3-1DACD9E75D69}" name="TablaDinámica4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4:B21" firstHeaderRow="1" firstDataRow="1" firstDataCol="1"/>
  <pivotFields count="8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Pasajeros" fld="3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50447-E53D-9C48-B836-5BE2FFAAA07E}" name="TablaDinámica3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7:B11" firstHeaderRow="1" firstDataRow="1" firstDataCol="1"/>
  <pivotFields count="8"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Pasajeros" fld="3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DCB6D-7B37-7F43-9120-E1844A15F38A}" name="TablaDinámica2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B4" firstHeaderRow="1" firstDataRow="1" firstDataCol="1"/>
  <pivotFields count="8"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a de Pasajeros" fld="3" baseField="0" baseItem="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" type="button" dataOnly="0" labelOnly="1" outline="0" axis="axisRow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23E21F-FA10-AA44-A52B-6FC1E9684A2C}" name="Tabla5" displayName="Tabla5" ref="A1:H37" totalsRowShown="0" headerRowDxfId="0" dataDxfId="1">
  <autoFilter ref="A1:H37" xr:uid="{9E23E21F-FA10-AA44-A52B-6FC1E9684A2C}"/>
  <tableColumns count="8">
    <tableColumn id="1" xr3:uid="{1DC5036B-E341-814E-B683-92B001265363}" name="Mes" dataDxfId="8"/>
    <tableColumn id="2" xr3:uid="{CA67E4DB-D31F-E64D-98C5-D331A542A08B}" name="Ruta" dataDxfId="7"/>
    <tableColumn id="3" xr3:uid="{AE905D47-0068-EA46-9C75-B10A8CFF2127}" name="Clase" dataDxfId="6"/>
    <tableColumn id="4" xr3:uid="{F2D9DC09-D1D6-404B-BDF9-FD3DAF5A79C1}" name="Pasajeros"/>
    <tableColumn id="5" xr3:uid="{0440B3DA-0A94-784B-8873-2B76232B1A95}" name="Precio promedio en USD" dataDxfId="5"/>
    <tableColumn id="6" xr3:uid="{C5E98AD3-49D9-3B44-8FF8-A3FA6EB9B636}" name="Ingresos USD" dataDxfId="4"/>
    <tableColumn id="7" xr3:uid="{BCEC1A0F-C1A1-E741-B613-83BC88C3B58E}" name="Nivel de ocupación" dataDxfId="3"/>
    <tableColumn id="8" xr3:uid="{FB93F806-1D84-C740-A999-2B74284AB0A1}" name="Cantidad de vuelos por mes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AA3E0-0B7E-A644-AC33-87FB3C1013E7}" name="Tabla2" displayName="Tabla2" ref="A1:H37" totalsRowShown="0">
  <autoFilter ref="A1:H37" xr:uid="{7E5AA3E0-0B7E-A644-AC33-87FB3C1013E7}"/>
  <tableColumns count="8">
    <tableColumn id="1" xr3:uid="{2338BD30-1CD0-3945-942C-C7D9DACBD051}" name="Mes"/>
    <tableColumn id="2" xr3:uid="{877B4EC2-934C-8540-9AB2-1C0AC2BA080C}" name="Ruta"/>
    <tableColumn id="3" xr3:uid="{A8C95CD7-5E2F-1444-91F3-98FF77CB357A}" name="Clase"/>
    <tableColumn id="4" xr3:uid="{A9873C23-3E93-8242-90A0-3288BB732D1D}" name="Pasajeros"/>
    <tableColumn id="5" xr3:uid="{4655A034-CEB2-084E-80F5-F6F216E5F373}" name="Precio Promedio en USD"/>
    <tableColumn id="6" xr3:uid="{FA59EB5B-31C9-7E4A-ADAD-5DB6CAE70960}" name="Ingresos  USD"/>
    <tableColumn id="7" xr3:uid="{F91C2C83-F916-6F45-8A9E-99A734FBDC24}" name="NivelOcupacion"/>
    <tableColumn id="8" xr3:uid="{308316C9-2368-3843-93DB-9F5C23590371}" name="Cantidad de Vuelos x m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1841-4496-9B47-8EE2-61DEE03D0BAA}">
  <dimension ref="A1:N37"/>
  <sheetViews>
    <sheetView topLeftCell="C1" workbookViewId="0">
      <selection activeCell="M12" sqref="M12"/>
    </sheetView>
  </sheetViews>
  <sheetFormatPr baseColWidth="10" defaultRowHeight="15" x14ac:dyDescent="0.2"/>
  <cols>
    <col min="4" max="4" width="10.6640625" customWidth="1"/>
    <col min="5" max="5" width="22.33203125" customWidth="1"/>
    <col min="6" max="6" width="13.33203125" customWidth="1"/>
    <col min="7" max="7" width="18.1640625" customWidth="1"/>
    <col min="8" max="8" width="24.5" customWidth="1"/>
  </cols>
  <sheetData>
    <row r="1" spans="1:14" ht="16" thickBot="1" x14ac:dyDescent="0.25">
      <c r="A1" s="8" t="s">
        <v>0</v>
      </c>
      <c r="B1" s="8" t="s">
        <v>1</v>
      </c>
      <c r="C1" s="8" t="s">
        <v>2</v>
      </c>
      <c r="D1" t="s">
        <v>3</v>
      </c>
      <c r="E1" s="8" t="s">
        <v>34</v>
      </c>
      <c r="F1" s="8" t="s">
        <v>35</v>
      </c>
      <c r="G1" s="8" t="s">
        <v>36</v>
      </c>
      <c r="H1" s="8" t="s">
        <v>37</v>
      </c>
    </row>
    <row r="2" spans="1:14" ht="16" thickBot="1" x14ac:dyDescent="0.25">
      <c r="A2" s="8" t="s">
        <v>4</v>
      </c>
      <c r="B2" s="8" t="s">
        <v>5</v>
      </c>
      <c r="C2" s="8" t="s">
        <v>6</v>
      </c>
      <c r="D2">
        <v>200</v>
      </c>
      <c r="E2" s="8">
        <v>120</v>
      </c>
      <c r="F2" s="8">
        <v>21600</v>
      </c>
      <c r="G2" s="8" t="s">
        <v>7</v>
      </c>
      <c r="H2" s="8">
        <v>25</v>
      </c>
      <c r="J2" s="13" t="s">
        <v>39</v>
      </c>
      <c r="K2" s="14" t="s">
        <v>38</v>
      </c>
      <c r="M2" s="15" t="s">
        <v>2</v>
      </c>
      <c r="N2" s="16" t="s">
        <v>41</v>
      </c>
    </row>
    <row r="3" spans="1:14" x14ac:dyDescent="0.2">
      <c r="A3" s="8" t="s">
        <v>4</v>
      </c>
      <c r="B3" s="8" t="s">
        <v>8</v>
      </c>
      <c r="C3" s="8" t="s">
        <v>6</v>
      </c>
      <c r="D3">
        <v>180</v>
      </c>
      <c r="E3" s="8">
        <v>140</v>
      </c>
      <c r="F3" s="8">
        <v>22400</v>
      </c>
      <c r="G3" s="8" t="s">
        <v>9</v>
      </c>
      <c r="H3" s="8">
        <v>20</v>
      </c>
      <c r="J3" s="9" t="s">
        <v>4</v>
      </c>
      <c r="K3" s="10">
        <f>SUMIF($A$2:$A$37, "Enero",$D$2:$D$37)</f>
        <v>665</v>
      </c>
      <c r="M3" s="9" t="s">
        <v>6</v>
      </c>
      <c r="N3" s="10">
        <f>SUMIF($C$2:$C$37,M3,$D$2:$D$37)</f>
        <v>3345</v>
      </c>
    </row>
    <row r="4" spans="1:14" x14ac:dyDescent="0.2">
      <c r="A4" s="8" t="s">
        <v>4</v>
      </c>
      <c r="B4" s="8" t="s">
        <v>10</v>
      </c>
      <c r="C4" s="8" t="s">
        <v>6</v>
      </c>
      <c r="D4">
        <v>180</v>
      </c>
      <c r="E4" s="8">
        <v>150</v>
      </c>
      <c r="F4" s="8">
        <v>22500</v>
      </c>
      <c r="G4" s="8" t="s">
        <v>9</v>
      </c>
      <c r="H4" s="8">
        <v>18</v>
      </c>
      <c r="J4" s="9" t="s">
        <v>11</v>
      </c>
      <c r="K4" s="10">
        <f>SUMIF($A$2:$A$37, "Febrero",$D$2:$D$37)</f>
        <v>632</v>
      </c>
      <c r="M4" s="9" t="s">
        <v>16</v>
      </c>
      <c r="N4" s="10">
        <f>SUMIF($C$2:$C$37,M4,$D$2:$D$37)</f>
        <v>746</v>
      </c>
    </row>
    <row r="5" spans="1:14" ht="16" thickBot="1" x14ac:dyDescent="0.25">
      <c r="A5" s="8" t="s">
        <v>11</v>
      </c>
      <c r="B5" s="8" t="s">
        <v>5</v>
      </c>
      <c r="C5" s="8" t="s">
        <v>6</v>
      </c>
      <c r="D5">
        <v>180</v>
      </c>
      <c r="E5" s="8">
        <v>125</v>
      </c>
      <c r="F5" s="8">
        <v>25000</v>
      </c>
      <c r="G5" s="8" t="s">
        <v>7</v>
      </c>
      <c r="H5" s="8">
        <v>28</v>
      </c>
      <c r="J5" s="9" t="s">
        <v>12</v>
      </c>
      <c r="K5" s="10">
        <f>SUMIF($A$2:$A$37, "Marzo",$D$2:$D$37)</f>
        <v>706</v>
      </c>
      <c r="M5" s="11" t="s">
        <v>40</v>
      </c>
      <c r="N5" s="12">
        <f>SUM(N3:N4)</f>
        <v>4091</v>
      </c>
    </row>
    <row r="6" spans="1:14" x14ac:dyDescent="0.2">
      <c r="A6" s="8" t="s">
        <v>11</v>
      </c>
      <c r="B6" s="8" t="s">
        <v>8</v>
      </c>
      <c r="C6" s="8" t="s">
        <v>6</v>
      </c>
      <c r="D6">
        <v>170</v>
      </c>
      <c r="E6" s="8">
        <v>145</v>
      </c>
      <c r="F6" s="8">
        <v>24650</v>
      </c>
      <c r="G6" s="8" t="s">
        <v>9</v>
      </c>
      <c r="H6" s="8">
        <v>22</v>
      </c>
      <c r="J6" s="9" t="s">
        <v>13</v>
      </c>
      <c r="K6" s="10">
        <f>SUMIF($A$2:$A$37, "Abril",$D$2:$D$37)</f>
        <v>658</v>
      </c>
    </row>
    <row r="7" spans="1:14" x14ac:dyDescent="0.2">
      <c r="A7" s="8" t="s">
        <v>11</v>
      </c>
      <c r="B7" s="8" t="s">
        <v>10</v>
      </c>
      <c r="C7" s="8" t="s">
        <v>6</v>
      </c>
      <c r="D7">
        <v>165</v>
      </c>
      <c r="E7" s="8">
        <v>155</v>
      </c>
      <c r="F7" s="8">
        <v>25575</v>
      </c>
      <c r="G7" s="8" t="s">
        <v>9</v>
      </c>
      <c r="H7" s="8">
        <v>20</v>
      </c>
      <c r="J7" s="9" t="s">
        <v>14</v>
      </c>
      <c r="K7" s="10">
        <f>SUMIF($A$2:$A$37, "Mayo",$D$2:$D$37)</f>
        <v>699</v>
      </c>
    </row>
    <row r="8" spans="1:14" x14ac:dyDescent="0.2">
      <c r="A8" s="8" t="s">
        <v>12</v>
      </c>
      <c r="B8" s="8" t="s">
        <v>5</v>
      </c>
      <c r="C8" s="8" t="s">
        <v>6</v>
      </c>
      <c r="D8">
        <v>210</v>
      </c>
      <c r="E8" s="8">
        <v>130</v>
      </c>
      <c r="F8" s="8">
        <v>27300</v>
      </c>
      <c r="G8" s="8" t="s">
        <v>7</v>
      </c>
      <c r="H8" s="8">
        <v>30</v>
      </c>
      <c r="J8" s="9" t="s">
        <v>15</v>
      </c>
      <c r="K8" s="10">
        <f>SUMIF($A$2:$A$37, "Junio",$D$2:$D$37)</f>
        <v>731</v>
      </c>
    </row>
    <row r="9" spans="1:14" ht="16" thickBot="1" x14ac:dyDescent="0.25">
      <c r="A9" s="8" t="s">
        <v>12</v>
      </c>
      <c r="B9" s="8" t="s">
        <v>8</v>
      </c>
      <c r="C9" s="8" t="s">
        <v>6</v>
      </c>
      <c r="D9">
        <v>175</v>
      </c>
      <c r="E9" s="8">
        <v>150</v>
      </c>
      <c r="F9" s="8">
        <v>26250</v>
      </c>
      <c r="G9" s="8" t="s">
        <v>9</v>
      </c>
      <c r="H9" s="8">
        <v>24</v>
      </c>
      <c r="J9" s="11" t="s">
        <v>40</v>
      </c>
      <c r="K9" s="12">
        <f>SUM(K3:K8)</f>
        <v>4091</v>
      </c>
    </row>
    <row r="10" spans="1:14" x14ac:dyDescent="0.2">
      <c r="A10" s="8" t="s">
        <v>12</v>
      </c>
      <c r="B10" s="8" t="s">
        <v>10</v>
      </c>
      <c r="C10" s="8" t="s">
        <v>6</v>
      </c>
      <c r="D10">
        <v>190</v>
      </c>
      <c r="E10" s="8">
        <v>160</v>
      </c>
      <c r="F10" s="8">
        <v>30400</v>
      </c>
      <c r="G10" s="8" t="s">
        <v>7</v>
      </c>
      <c r="H10" s="8">
        <v>22</v>
      </c>
    </row>
    <row r="11" spans="1:14" x14ac:dyDescent="0.2">
      <c r="A11" s="8" t="s">
        <v>13</v>
      </c>
      <c r="B11" s="8" t="s">
        <v>5</v>
      </c>
      <c r="C11" s="8" t="s">
        <v>6</v>
      </c>
      <c r="D11">
        <v>195</v>
      </c>
      <c r="E11" s="8">
        <v>128</v>
      </c>
      <c r="F11" s="8">
        <v>24960</v>
      </c>
      <c r="G11" s="8" t="s">
        <v>7</v>
      </c>
      <c r="H11" s="8">
        <v>27</v>
      </c>
    </row>
    <row r="12" spans="1:14" x14ac:dyDescent="0.2">
      <c r="A12" s="8" t="s">
        <v>13</v>
      </c>
      <c r="B12" s="8" t="s">
        <v>8</v>
      </c>
      <c r="C12" s="8" t="s">
        <v>6</v>
      </c>
      <c r="D12">
        <v>168</v>
      </c>
      <c r="E12" s="8">
        <v>148</v>
      </c>
      <c r="F12" s="8">
        <v>24864</v>
      </c>
      <c r="G12" s="8" t="s">
        <v>9</v>
      </c>
      <c r="H12" s="8">
        <v>21</v>
      </c>
    </row>
    <row r="13" spans="1:14" x14ac:dyDescent="0.2">
      <c r="A13" s="8" t="s">
        <v>13</v>
      </c>
      <c r="B13" s="8" t="s">
        <v>10</v>
      </c>
      <c r="C13" s="8" t="s">
        <v>6</v>
      </c>
      <c r="D13">
        <v>172</v>
      </c>
      <c r="E13" s="8">
        <v>158</v>
      </c>
      <c r="F13" s="8">
        <v>27176</v>
      </c>
      <c r="G13" s="8" t="s">
        <v>9</v>
      </c>
      <c r="H13" s="8">
        <v>19</v>
      </c>
    </row>
    <row r="14" spans="1:14" x14ac:dyDescent="0.2">
      <c r="A14" s="8" t="s">
        <v>14</v>
      </c>
      <c r="B14" s="8" t="s">
        <v>5</v>
      </c>
      <c r="C14" s="8" t="s">
        <v>6</v>
      </c>
      <c r="D14">
        <v>205</v>
      </c>
      <c r="E14" s="8">
        <v>132</v>
      </c>
      <c r="F14" s="8">
        <v>27060</v>
      </c>
      <c r="G14" s="8" t="s">
        <v>7</v>
      </c>
      <c r="H14" s="8">
        <v>29</v>
      </c>
    </row>
    <row r="15" spans="1:14" x14ac:dyDescent="0.2">
      <c r="A15" s="8" t="s">
        <v>14</v>
      </c>
      <c r="B15" s="8" t="s">
        <v>8</v>
      </c>
      <c r="C15" s="8" t="s">
        <v>6</v>
      </c>
      <c r="D15">
        <v>178</v>
      </c>
      <c r="E15" s="8">
        <v>152</v>
      </c>
      <c r="F15" s="8">
        <v>27056</v>
      </c>
      <c r="G15" s="8" t="s">
        <v>9</v>
      </c>
      <c r="H15" s="8">
        <v>23</v>
      </c>
    </row>
    <row r="16" spans="1:14" x14ac:dyDescent="0.2">
      <c r="A16" s="8" t="s">
        <v>14</v>
      </c>
      <c r="B16" s="8" t="s">
        <v>10</v>
      </c>
      <c r="C16" s="8" t="s">
        <v>6</v>
      </c>
      <c r="D16">
        <v>185</v>
      </c>
      <c r="E16" s="8">
        <v>162</v>
      </c>
      <c r="F16" s="8">
        <v>29970</v>
      </c>
      <c r="G16" s="8" t="s">
        <v>7</v>
      </c>
      <c r="H16" s="8">
        <v>21</v>
      </c>
    </row>
    <row r="17" spans="1:8" x14ac:dyDescent="0.2">
      <c r="A17" s="8" t="s">
        <v>15</v>
      </c>
      <c r="B17" s="8" t="s">
        <v>5</v>
      </c>
      <c r="C17" s="8" t="s">
        <v>6</v>
      </c>
      <c r="D17">
        <v>215</v>
      </c>
      <c r="E17" s="8">
        <v>135</v>
      </c>
      <c r="F17" s="8">
        <v>29025</v>
      </c>
      <c r="G17" s="8" t="s">
        <v>7</v>
      </c>
      <c r="H17" s="8">
        <v>31</v>
      </c>
    </row>
    <row r="18" spans="1:8" x14ac:dyDescent="0.2">
      <c r="A18" s="8" t="s">
        <v>15</v>
      </c>
      <c r="B18" s="8" t="s">
        <v>8</v>
      </c>
      <c r="C18" s="8" t="s">
        <v>6</v>
      </c>
      <c r="D18">
        <v>182</v>
      </c>
      <c r="E18" s="8">
        <v>155</v>
      </c>
      <c r="F18" s="8">
        <v>28210</v>
      </c>
      <c r="G18" s="8" t="s">
        <v>7</v>
      </c>
      <c r="H18" s="8">
        <v>24</v>
      </c>
    </row>
    <row r="19" spans="1:8" x14ac:dyDescent="0.2">
      <c r="A19" s="8" t="s">
        <v>15</v>
      </c>
      <c r="B19" s="8" t="s">
        <v>10</v>
      </c>
      <c r="C19" s="8" t="s">
        <v>6</v>
      </c>
      <c r="D19">
        <v>195</v>
      </c>
      <c r="E19" s="8">
        <v>165</v>
      </c>
      <c r="F19" s="8">
        <v>32175</v>
      </c>
      <c r="G19" s="8" t="s">
        <v>7</v>
      </c>
      <c r="H19" s="8">
        <v>22</v>
      </c>
    </row>
    <row r="20" spans="1:8" x14ac:dyDescent="0.2">
      <c r="A20" s="8" t="s">
        <v>4</v>
      </c>
      <c r="B20" s="8" t="s">
        <v>5</v>
      </c>
      <c r="C20" s="8" t="s">
        <v>16</v>
      </c>
      <c r="D20">
        <v>40</v>
      </c>
      <c r="E20" s="8">
        <v>320</v>
      </c>
      <c r="F20" s="8">
        <v>12800</v>
      </c>
      <c r="G20" s="8" t="s">
        <v>17</v>
      </c>
      <c r="H20" s="8">
        <v>25</v>
      </c>
    </row>
    <row r="21" spans="1:8" x14ac:dyDescent="0.2">
      <c r="A21" s="8" t="s">
        <v>4</v>
      </c>
      <c r="B21" s="8" t="s">
        <v>8</v>
      </c>
      <c r="C21" s="8" t="s">
        <v>16</v>
      </c>
      <c r="D21">
        <v>35</v>
      </c>
      <c r="E21" s="8">
        <v>340</v>
      </c>
      <c r="F21" s="8">
        <v>11900</v>
      </c>
      <c r="G21" s="8" t="s">
        <v>17</v>
      </c>
      <c r="H21" s="8">
        <v>20</v>
      </c>
    </row>
    <row r="22" spans="1:8" x14ac:dyDescent="0.2">
      <c r="A22" s="8" t="s">
        <v>4</v>
      </c>
      <c r="B22" s="8" t="s">
        <v>10</v>
      </c>
      <c r="C22" s="8" t="s">
        <v>16</v>
      </c>
      <c r="D22">
        <v>30</v>
      </c>
      <c r="E22" s="8">
        <v>360</v>
      </c>
      <c r="F22" s="8">
        <v>10800</v>
      </c>
      <c r="G22" s="8" t="s">
        <v>17</v>
      </c>
      <c r="H22" s="8">
        <v>18</v>
      </c>
    </row>
    <row r="23" spans="1:8" x14ac:dyDescent="0.2">
      <c r="A23" s="8" t="s">
        <v>11</v>
      </c>
      <c r="B23" s="8" t="s">
        <v>5</v>
      </c>
      <c r="C23" s="8" t="s">
        <v>16</v>
      </c>
      <c r="D23">
        <v>45</v>
      </c>
      <c r="E23" s="8">
        <v>330</v>
      </c>
      <c r="F23" s="8">
        <v>14850</v>
      </c>
      <c r="G23" s="8" t="s">
        <v>17</v>
      </c>
      <c r="H23" s="8">
        <v>28</v>
      </c>
    </row>
    <row r="24" spans="1:8" x14ac:dyDescent="0.2">
      <c r="A24" s="8" t="s">
        <v>11</v>
      </c>
      <c r="B24" s="8" t="s">
        <v>8</v>
      </c>
      <c r="C24" s="8" t="s">
        <v>16</v>
      </c>
      <c r="D24">
        <v>38</v>
      </c>
      <c r="E24" s="8">
        <v>350</v>
      </c>
      <c r="F24" s="8">
        <v>13300</v>
      </c>
      <c r="G24" s="8" t="s">
        <v>17</v>
      </c>
      <c r="H24" s="8">
        <v>22</v>
      </c>
    </row>
    <row r="25" spans="1:8" x14ac:dyDescent="0.2">
      <c r="A25" s="8" t="s">
        <v>11</v>
      </c>
      <c r="B25" s="8" t="s">
        <v>10</v>
      </c>
      <c r="C25" s="8" t="s">
        <v>16</v>
      </c>
      <c r="D25">
        <v>34</v>
      </c>
      <c r="E25" s="8">
        <v>370</v>
      </c>
      <c r="F25" s="8">
        <v>12580</v>
      </c>
      <c r="G25" s="8" t="s">
        <v>17</v>
      </c>
      <c r="H25" s="8">
        <v>20</v>
      </c>
    </row>
    <row r="26" spans="1:8" x14ac:dyDescent="0.2">
      <c r="A26" s="8" t="s">
        <v>12</v>
      </c>
      <c r="B26" s="8" t="s">
        <v>5</v>
      </c>
      <c r="C26" s="8" t="s">
        <v>16</v>
      </c>
      <c r="D26">
        <v>50</v>
      </c>
      <c r="E26" s="8">
        <v>340</v>
      </c>
      <c r="F26" s="8">
        <v>17000</v>
      </c>
      <c r="G26" s="8" t="s">
        <v>17</v>
      </c>
      <c r="H26" s="8">
        <v>30</v>
      </c>
    </row>
    <row r="27" spans="1:8" x14ac:dyDescent="0.2">
      <c r="A27" s="8" t="s">
        <v>12</v>
      </c>
      <c r="B27" s="8" t="s">
        <v>8</v>
      </c>
      <c r="C27" s="8" t="s">
        <v>16</v>
      </c>
      <c r="D27">
        <v>42</v>
      </c>
      <c r="E27" s="8">
        <v>360</v>
      </c>
      <c r="F27" s="8">
        <v>15120</v>
      </c>
      <c r="G27" s="8" t="s">
        <v>17</v>
      </c>
      <c r="H27" s="8">
        <v>24</v>
      </c>
    </row>
    <row r="28" spans="1:8" x14ac:dyDescent="0.2">
      <c r="A28" s="8" t="s">
        <v>12</v>
      </c>
      <c r="B28" s="8" t="s">
        <v>10</v>
      </c>
      <c r="C28" s="8" t="s">
        <v>16</v>
      </c>
      <c r="D28">
        <v>39</v>
      </c>
      <c r="E28" s="8">
        <v>380</v>
      </c>
      <c r="F28" s="8">
        <v>14820</v>
      </c>
      <c r="G28" s="8" t="s">
        <v>17</v>
      </c>
      <c r="H28" s="8">
        <v>22</v>
      </c>
    </row>
    <row r="29" spans="1:8" x14ac:dyDescent="0.2">
      <c r="A29" s="8" t="s">
        <v>13</v>
      </c>
      <c r="B29" s="8" t="s">
        <v>5</v>
      </c>
      <c r="C29" s="8" t="s">
        <v>16</v>
      </c>
      <c r="D29">
        <v>46</v>
      </c>
      <c r="E29" s="8">
        <v>335</v>
      </c>
      <c r="F29" s="8">
        <v>15410</v>
      </c>
      <c r="G29" s="8" t="s">
        <v>17</v>
      </c>
      <c r="H29" s="8">
        <v>27</v>
      </c>
    </row>
    <row r="30" spans="1:8" x14ac:dyDescent="0.2">
      <c r="A30" s="8" t="s">
        <v>13</v>
      </c>
      <c r="B30" s="8" t="s">
        <v>8</v>
      </c>
      <c r="C30" s="8" t="s">
        <v>16</v>
      </c>
      <c r="D30">
        <v>40</v>
      </c>
      <c r="E30" s="8">
        <v>355</v>
      </c>
      <c r="F30" s="8">
        <v>14200</v>
      </c>
      <c r="G30" s="8" t="s">
        <v>17</v>
      </c>
      <c r="H30" s="8">
        <v>21</v>
      </c>
    </row>
    <row r="31" spans="1:8" x14ac:dyDescent="0.2">
      <c r="A31" s="8" t="s">
        <v>13</v>
      </c>
      <c r="B31" s="8" t="s">
        <v>10</v>
      </c>
      <c r="C31" s="8" t="s">
        <v>16</v>
      </c>
      <c r="D31">
        <v>37</v>
      </c>
      <c r="E31" s="8">
        <v>375</v>
      </c>
      <c r="F31" s="8">
        <v>13875</v>
      </c>
      <c r="G31" s="8" t="s">
        <v>17</v>
      </c>
      <c r="H31" s="8">
        <v>19</v>
      </c>
    </row>
    <row r="32" spans="1:8" x14ac:dyDescent="0.2">
      <c r="A32" s="8" t="s">
        <v>14</v>
      </c>
      <c r="B32" s="8" t="s">
        <v>5</v>
      </c>
      <c r="C32" s="8" t="s">
        <v>16</v>
      </c>
      <c r="D32">
        <v>48</v>
      </c>
      <c r="E32" s="8">
        <v>345</v>
      </c>
      <c r="F32" s="8">
        <v>16560</v>
      </c>
      <c r="G32" s="8" t="s">
        <v>17</v>
      </c>
      <c r="H32" s="8">
        <v>29</v>
      </c>
    </row>
    <row r="33" spans="1:8" x14ac:dyDescent="0.2">
      <c r="A33" s="8" t="s">
        <v>14</v>
      </c>
      <c r="B33" s="8" t="s">
        <v>8</v>
      </c>
      <c r="C33" s="8" t="s">
        <v>16</v>
      </c>
      <c r="D33">
        <v>43</v>
      </c>
      <c r="E33" s="8">
        <v>365</v>
      </c>
      <c r="F33" s="8">
        <v>15695</v>
      </c>
      <c r="G33" s="8" t="s">
        <v>17</v>
      </c>
      <c r="H33" s="8">
        <v>23</v>
      </c>
    </row>
    <row r="34" spans="1:8" x14ac:dyDescent="0.2">
      <c r="A34" s="8" t="s">
        <v>14</v>
      </c>
      <c r="B34" s="8" t="s">
        <v>10</v>
      </c>
      <c r="C34" s="8" t="s">
        <v>16</v>
      </c>
      <c r="D34">
        <v>40</v>
      </c>
      <c r="E34" s="8">
        <v>385</v>
      </c>
      <c r="F34" s="8">
        <v>15400</v>
      </c>
      <c r="G34" s="8" t="s">
        <v>17</v>
      </c>
      <c r="H34" s="8">
        <v>21</v>
      </c>
    </row>
    <row r="35" spans="1:8" x14ac:dyDescent="0.2">
      <c r="A35" s="8" t="s">
        <v>15</v>
      </c>
      <c r="B35" s="8" t="s">
        <v>5</v>
      </c>
      <c r="C35" s="8" t="s">
        <v>16</v>
      </c>
      <c r="D35">
        <v>52</v>
      </c>
      <c r="E35" s="8">
        <v>350</v>
      </c>
      <c r="F35" s="8">
        <v>18200</v>
      </c>
      <c r="G35" s="8" t="s">
        <v>17</v>
      </c>
      <c r="H35" s="8">
        <v>31</v>
      </c>
    </row>
    <row r="36" spans="1:8" x14ac:dyDescent="0.2">
      <c r="A36" s="8" t="s">
        <v>15</v>
      </c>
      <c r="B36" s="8" t="s">
        <v>8</v>
      </c>
      <c r="C36" s="8" t="s">
        <v>16</v>
      </c>
      <c r="D36">
        <v>45</v>
      </c>
      <c r="E36" s="8">
        <v>370</v>
      </c>
      <c r="F36" s="8">
        <v>16650</v>
      </c>
      <c r="G36" s="8" t="s">
        <v>17</v>
      </c>
      <c r="H36" s="8">
        <v>24</v>
      </c>
    </row>
    <row r="37" spans="1:8" x14ac:dyDescent="0.2">
      <c r="A37" s="8" t="s">
        <v>15</v>
      </c>
      <c r="B37" s="8" t="s">
        <v>10</v>
      </c>
      <c r="C37" s="8" t="s">
        <v>16</v>
      </c>
      <c r="D37">
        <v>42</v>
      </c>
      <c r="E37" s="8">
        <v>390</v>
      </c>
      <c r="F37" s="8">
        <v>16380</v>
      </c>
      <c r="G37" s="8" t="s">
        <v>17</v>
      </c>
      <c r="H37" s="8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3303-7AB8-BD45-8E14-52DE5CE8EBD5}">
  <dimension ref="A3:A11"/>
  <sheetViews>
    <sheetView topLeftCell="A2" workbookViewId="0">
      <selection activeCell="N22" sqref="N22"/>
    </sheetView>
  </sheetViews>
  <sheetFormatPr baseColWidth="10" defaultRowHeight="15" x14ac:dyDescent="0.2"/>
  <cols>
    <col min="1" max="1" width="42.5" bestFit="1" customWidth="1"/>
  </cols>
  <sheetData>
    <row r="3" spans="1:1" ht="24" x14ac:dyDescent="0.3">
      <c r="A3" s="1" t="s">
        <v>27</v>
      </c>
    </row>
    <row r="4" spans="1:1" ht="24" x14ac:dyDescent="0.3">
      <c r="A4" s="2" t="s">
        <v>30</v>
      </c>
    </row>
    <row r="5" spans="1:1" ht="24" x14ac:dyDescent="0.3">
      <c r="A5" s="2" t="s">
        <v>25</v>
      </c>
    </row>
    <row r="6" spans="1:1" ht="24" x14ac:dyDescent="0.3">
      <c r="A6" s="2" t="s">
        <v>26</v>
      </c>
    </row>
    <row r="7" spans="1:1" ht="24" x14ac:dyDescent="0.3">
      <c r="A7" s="2"/>
    </row>
    <row r="8" spans="1:1" ht="24" x14ac:dyDescent="0.3">
      <c r="A8" s="2" t="s">
        <v>28</v>
      </c>
    </row>
    <row r="9" spans="1:1" ht="24" x14ac:dyDescent="0.3">
      <c r="A9" s="2" t="s">
        <v>31</v>
      </c>
    </row>
    <row r="10" spans="1:1" ht="24" x14ac:dyDescent="0.3">
      <c r="A10" s="2" t="s">
        <v>29</v>
      </c>
    </row>
    <row r="11" spans="1:1" ht="24" x14ac:dyDescent="0.3">
      <c r="A11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opLeftCell="A2" workbookViewId="0">
      <selection activeCell="A3" sqref="A3"/>
    </sheetView>
  </sheetViews>
  <sheetFormatPr baseColWidth="10" defaultColWidth="8.83203125" defaultRowHeight="15" x14ac:dyDescent="0.2"/>
  <cols>
    <col min="2" max="2" width="19.1640625" bestFit="1" customWidth="1"/>
    <col min="4" max="4" width="10.6640625" customWidth="1"/>
    <col min="5" max="5" width="22.33203125" customWidth="1"/>
    <col min="6" max="6" width="13.6640625" customWidth="1"/>
    <col min="7" max="7" width="15.6640625" customWidth="1"/>
    <col min="8" max="8" width="23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2">
      <c r="A2" t="s">
        <v>4</v>
      </c>
      <c r="B2" t="s">
        <v>5</v>
      </c>
      <c r="C2" t="s">
        <v>6</v>
      </c>
      <c r="D2">
        <v>200</v>
      </c>
      <c r="E2">
        <v>120</v>
      </c>
      <c r="F2">
        <v>21600</v>
      </c>
      <c r="G2" t="s">
        <v>7</v>
      </c>
      <c r="H2">
        <v>25</v>
      </c>
    </row>
    <row r="3" spans="1:8" x14ac:dyDescent="0.2">
      <c r="A3" t="s">
        <v>4</v>
      </c>
      <c r="B3" t="s">
        <v>8</v>
      </c>
      <c r="C3" t="s">
        <v>6</v>
      </c>
      <c r="D3">
        <v>180</v>
      </c>
      <c r="E3">
        <v>140</v>
      </c>
      <c r="F3">
        <v>22400</v>
      </c>
      <c r="G3" t="s">
        <v>9</v>
      </c>
      <c r="H3">
        <v>20</v>
      </c>
    </row>
    <row r="4" spans="1:8" x14ac:dyDescent="0.2">
      <c r="A4" t="s">
        <v>4</v>
      </c>
      <c r="B4" t="s">
        <v>10</v>
      </c>
      <c r="C4" t="s">
        <v>6</v>
      </c>
      <c r="D4">
        <v>180</v>
      </c>
      <c r="E4">
        <v>150</v>
      </c>
      <c r="F4">
        <v>22500</v>
      </c>
      <c r="G4" t="s">
        <v>9</v>
      </c>
      <c r="H4">
        <v>18</v>
      </c>
    </row>
    <row r="5" spans="1:8" x14ac:dyDescent="0.2">
      <c r="A5" t="s">
        <v>11</v>
      </c>
      <c r="B5" t="s">
        <v>5</v>
      </c>
      <c r="C5" t="s">
        <v>6</v>
      </c>
      <c r="D5">
        <v>180</v>
      </c>
      <c r="E5">
        <v>125</v>
      </c>
      <c r="F5">
        <v>25000</v>
      </c>
      <c r="G5" t="s">
        <v>7</v>
      </c>
      <c r="H5">
        <v>28</v>
      </c>
    </row>
    <row r="6" spans="1:8" x14ac:dyDescent="0.2">
      <c r="A6" t="s">
        <v>11</v>
      </c>
      <c r="B6" t="s">
        <v>8</v>
      </c>
      <c r="C6" t="s">
        <v>6</v>
      </c>
      <c r="D6">
        <v>170</v>
      </c>
      <c r="E6">
        <v>145</v>
      </c>
      <c r="F6">
        <v>24650</v>
      </c>
      <c r="G6" t="s">
        <v>9</v>
      </c>
      <c r="H6">
        <v>22</v>
      </c>
    </row>
    <row r="7" spans="1:8" x14ac:dyDescent="0.2">
      <c r="A7" t="s">
        <v>11</v>
      </c>
      <c r="B7" t="s">
        <v>10</v>
      </c>
      <c r="C7" t="s">
        <v>6</v>
      </c>
      <c r="D7">
        <v>165</v>
      </c>
      <c r="E7">
        <v>155</v>
      </c>
      <c r="F7">
        <v>25575</v>
      </c>
      <c r="G7" t="s">
        <v>9</v>
      </c>
      <c r="H7">
        <v>20</v>
      </c>
    </row>
    <row r="8" spans="1:8" x14ac:dyDescent="0.2">
      <c r="A8" t="s">
        <v>12</v>
      </c>
      <c r="B8" t="s">
        <v>5</v>
      </c>
      <c r="C8" t="s">
        <v>6</v>
      </c>
      <c r="D8">
        <v>210</v>
      </c>
      <c r="E8">
        <v>130</v>
      </c>
      <c r="F8">
        <v>27300</v>
      </c>
      <c r="G8" t="s">
        <v>7</v>
      </c>
      <c r="H8">
        <v>30</v>
      </c>
    </row>
    <row r="9" spans="1:8" x14ac:dyDescent="0.2">
      <c r="A9" t="s">
        <v>12</v>
      </c>
      <c r="B9" t="s">
        <v>8</v>
      </c>
      <c r="C9" t="s">
        <v>6</v>
      </c>
      <c r="D9">
        <v>175</v>
      </c>
      <c r="E9">
        <v>150</v>
      </c>
      <c r="F9">
        <v>26250</v>
      </c>
      <c r="G9" t="s">
        <v>9</v>
      </c>
      <c r="H9">
        <v>24</v>
      </c>
    </row>
    <row r="10" spans="1:8" x14ac:dyDescent="0.2">
      <c r="A10" t="s">
        <v>12</v>
      </c>
      <c r="B10" t="s">
        <v>10</v>
      </c>
      <c r="C10" t="s">
        <v>6</v>
      </c>
      <c r="D10">
        <v>190</v>
      </c>
      <c r="E10">
        <v>160</v>
      </c>
      <c r="F10">
        <v>30400</v>
      </c>
      <c r="G10" t="s">
        <v>7</v>
      </c>
      <c r="H10">
        <v>22</v>
      </c>
    </row>
    <row r="11" spans="1:8" x14ac:dyDescent="0.2">
      <c r="A11" t="s">
        <v>13</v>
      </c>
      <c r="B11" t="s">
        <v>5</v>
      </c>
      <c r="C11" t="s">
        <v>6</v>
      </c>
      <c r="D11">
        <v>195</v>
      </c>
      <c r="E11">
        <v>128</v>
      </c>
      <c r="F11">
        <v>24960</v>
      </c>
      <c r="G11" t="s">
        <v>7</v>
      </c>
      <c r="H11">
        <v>27</v>
      </c>
    </row>
    <row r="12" spans="1:8" x14ac:dyDescent="0.2">
      <c r="A12" t="s">
        <v>13</v>
      </c>
      <c r="B12" t="s">
        <v>8</v>
      </c>
      <c r="C12" t="s">
        <v>6</v>
      </c>
      <c r="D12">
        <v>168</v>
      </c>
      <c r="E12">
        <v>148</v>
      </c>
      <c r="F12">
        <v>24864</v>
      </c>
      <c r="G12" t="s">
        <v>9</v>
      </c>
      <c r="H12">
        <v>21</v>
      </c>
    </row>
    <row r="13" spans="1:8" x14ac:dyDescent="0.2">
      <c r="A13" t="s">
        <v>13</v>
      </c>
      <c r="B13" t="s">
        <v>10</v>
      </c>
      <c r="C13" t="s">
        <v>6</v>
      </c>
      <c r="D13">
        <v>172</v>
      </c>
      <c r="E13">
        <v>158</v>
      </c>
      <c r="F13">
        <v>27176</v>
      </c>
      <c r="G13" t="s">
        <v>9</v>
      </c>
      <c r="H13">
        <v>19</v>
      </c>
    </row>
    <row r="14" spans="1:8" x14ac:dyDescent="0.2">
      <c r="A14" t="s">
        <v>14</v>
      </c>
      <c r="B14" t="s">
        <v>5</v>
      </c>
      <c r="C14" t="s">
        <v>6</v>
      </c>
      <c r="D14">
        <v>205</v>
      </c>
      <c r="E14">
        <v>132</v>
      </c>
      <c r="F14">
        <v>27060</v>
      </c>
      <c r="G14" t="s">
        <v>7</v>
      </c>
      <c r="H14">
        <v>29</v>
      </c>
    </row>
    <row r="15" spans="1:8" x14ac:dyDescent="0.2">
      <c r="A15" t="s">
        <v>14</v>
      </c>
      <c r="B15" t="s">
        <v>8</v>
      </c>
      <c r="C15" t="s">
        <v>6</v>
      </c>
      <c r="D15">
        <v>178</v>
      </c>
      <c r="E15">
        <v>152</v>
      </c>
      <c r="F15">
        <v>27056</v>
      </c>
      <c r="G15" t="s">
        <v>9</v>
      </c>
      <c r="H15">
        <v>23</v>
      </c>
    </row>
    <row r="16" spans="1:8" x14ac:dyDescent="0.2">
      <c r="A16" t="s">
        <v>14</v>
      </c>
      <c r="B16" t="s">
        <v>10</v>
      </c>
      <c r="C16" t="s">
        <v>6</v>
      </c>
      <c r="D16">
        <v>185</v>
      </c>
      <c r="E16">
        <v>162</v>
      </c>
      <c r="F16">
        <v>29970</v>
      </c>
      <c r="G16" t="s">
        <v>7</v>
      </c>
      <c r="H16">
        <v>21</v>
      </c>
    </row>
    <row r="17" spans="1:8" x14ac:dyDescent="0.2">
      <c r="A17" t="s">
        <v>15</v>
      </c>
      <c r="B17" t="s">
        <v>5</v>
      </c>
      <c r="C17" t="s">
        <v>6</v>
      </c>
      <c r="D17">
        <v>215</v>
      </c>
      <c r="E17">
        <v>135</v>
      </c>
      <c r="F17">
        <v>29025</v>
      </c>
      <c r="G17" t="s">
        <v>7</v>
      </c>
      <c r="H17">
        <v>31</v>
      </c>
    </row>
    <row r="18" spans="1:8" x14ac:dyDescent="0.2">
      <c r="A18" t="s">
        <v>15</v>
      </c>
      <c r="B18" t="s">
        <v>8</v>
      </c>
      <c r="C18" t="s">
        <v>6</v>
      </c>
      <c r="D18">
        <v>182</v>
      </c>
      <c r="E18">
        <v>155</v>
      </c>
      <c r="F18">
        <v>28210</v>
      </c>
      <c r="G18" t="s">
        <v>7</v>
      </c>
      <c r="H18">
        <v>24</v>
      </c>
    </row>
    <row r="19" spans="1:8" x14ac:dyDescent="0.2">
      <c r="A19" t="s">
        <v>15</v>
      </c>
      <c r="B19" t="s">
        <v>10</v>
      </c>
      <c r="C19" t="s">
        <v>6</v>
      </c>
      <c r="D19">
        <v>195</v>
      </c>
      <c r="E19">
        <v>165</v>
      </c>
      <c r="F19">
        <v>32175</v>
      </c>
      <c r="G19" t="s">
        <v>7</v>
      </c>
      <c r="H19">
        <v>22</v>
      </c>
    </row>
    <row r="20" spans="1:8" x14ac:dyDescent="0.2">
      <c r="A20" t="s">
        <v>4</v>
      </c>
      <c r="B20" t="s">
        <v>5</v>
      </c>
      <c r="C20" t="s">
        <v>16</v>
      </c>
      <c r="D20">
        <v>40</v>
      </c>
      <c r="E20">
        <v>320</v>
      </c>
      <c r="F20">
        <v>12800</v>
      </c>
      <c r="G20" t="s">
        <v>17</v>
      </c>
      <c r="H20">
        <v>25</v>
      </c>
    </row>
    <row r="21" spans="1:8" x14ac:dyDescent="0.2">
      <c r="A21" t="s">
        <v>4</v>
      </c>
      <c r="B21" t="s">
        <v>8</v>
      </c>
      <c r="C21" t="s">
        <v>16</v>
      </c>
      <c r="D21">
        <v>35</v>
      </c>
      <c r="E21">
        <v>340</v>
      </c>
      <c r="F21">
        <v>11900</v>
      </c>
      <c r="G21" t="s">
        <v>17</v>
      </c>
      <c r="H21">
        <v>20</v>
      </c>
    </row>
    <row r="22" spans="1:8" x14ac:dyDescent="0.2">
      <c r="A22" t="s">
        <v>4</v>
      </c>
      <c r="B22" t="s">
        <v>10</v>
      </c>
      <c r="C22" t="s">
        <v>16</v>
      </c>
      <c r="D22">
        <v>30</v>
      </c>
      <c r="E22">
        <v>360</v>
      </c>
      <c r="F22">
        <v>10800</v>
      </c>
      <c r="G22" t="s">
        <v>17</v>
      </c>
      <c r="H22">
        <v>18</v>
      </c>
    </row>
    <row r="23" spans="1:8" x14ac:dyDescent="0.2">
      <c r="A23" t="s">
        <v>11</v>
      </c>
      <c r="B23" t="s">
        <v>5</v>
      </c>
      <c r="C23" t="s">
        <v>16</v>
      </c>
      <c r="D23">
        <v>45</v>
      </c>
      <c r="E23">
        <v>330</v>
      </c>
      <c r="F23">
        <v>14850</v>
      </c>
      <c r="G23" t="s">
        <v>17</v>
      </c>
      <c r="H23">
        <v>28</v>
      </c>
    </row>
    <row r="24" spans="1:8" x14ac:dyDescent="0.2">
      <c r="A24" t="s">
        <v>11</v>
      </c>
      <c r="B24" t="s">
        <v>8</v>
      </c>
      <c r="C24" t="s">
        <v>16</v>
      </c>
      <c r="D24">
        <v>38</v>
      </c>
      <c r="E24">
        <v>350</v>
      </c>
      <c r="F24">
        <v>13300</v>
      </c>
      <c r="G24" t="s">
        <v>17</v>
      </c>
      <c r="H24">
        <v>22</v>
      </c>
    </row>
    <row r="25" spans="1:8" x14ac:dyDescent="0.2">
      <c r="A25" t="s">
        <v>11</v>
      </c>
      <c r="B25" t="s">
        <v>10</v>
      </c>
      <c r="C25" t="s">
        <v>16</v>
      </c>
      <c r="D25">
        <v>34</v>
      </c>
      <c r="E25">
        <v>370</v>
      </c>
      <c r="F25">
        <v>12580</v>
      </c>
      <c r="G25" t="s">
        <v>17</v>
      </c>
      <c r="H25">
        <v>20</v>
      </c>
    </row>
    <row r="26" spans="1:8" x14ac:dyDescent="0.2">
      <c r="A26" t="s">
        <v>12</v>
      </c>
      <c r="B26" t="s">
        <v>5</v>
      </c>
      <c r="C26" t="s">
        <v>16</v>
      </c>
      <c r="D26">
        <v>50</v>
      </c>
      <c r="E26">
        <v>340</v>
      </c>
      <c r="F26">
        <v>17000</v>
      </c>
      <c r="G26" t="s">
        <v>17</v>
      </c>
      <c r="H26">
        <v>30</v>
      </c>
    </row>
    <row r="27" spans="1:8" x14ac:dyDescent="0.2">
      <c r="A27" t="s">
        <v>12</v>
      </c>
      <c r="B27" t="s">
        <v>8</v>
      </c>
      <c r="C27" t="s">
        <v>16</v>
      </c>
      <c r="D27">
        <v>42</v>
      </c>
      <c r="E27">
        <v>360</v>
      </c>
      <c r="F27">
        <v>15120</v>
      </c>
      <c r="G27" t="s">
        <v>17</v>
      </c>
      <c r="H27">
        <v>24</v>
      </c>
    </row>
    <row r="28" spans="1:8" x14ac:dyDescent="0.2">
      <c r="A28" t="s">
        <v>12</v>
      </c>
      <c r="B28" t="s">
        <v>10</v>
      </c>
      <c r="C28" t="s">
        <v>16</v>
      </c>
      <c r="D28">
        <v>39</v>
      </c>
      <c r="E28">
        <v>380</v>
      </c>
      <c r="F28">
        <v>14820</v>
      </c>
      <c r="G28" t="s">
        <v>17</v>
      </c>
      <c r="H28">
        <v>22</v>
      </c>
    </row>
    <row r="29" spans="1:8" x14ac:dyDescent="0.2">
      <c r="A29" t="s">
        <v>13</v>
      </c>
      <c r="B29" t="s">
        <v>5</v>
      </c>
      <c r="C29" t="s">
        <v>16</v>
      </c>
      <c r="D29">
        <v>46</v>
      </c>
      <c r="E29">
        <v>335</v>
      </c>
      <c r="F29">
        <v>15410</v>
      </c>
      <c r="G29" t="s">
        <v>17</v>
      </c>
      <c r="H29">
        <v>27</v>
      </c>
    </row>
    <row r="30" spans="1:8" x14ac:dyDescent="0.2">
      <c r="A30" t="s">
        <v>13</v>
      </c>
      <c r="B30" t="s">
        <v>8</v>
      </c>
      <c r="C30" t="s">
        <v>16</v>
      </c>
      <c r="D30">
        <v>40</v>
      </c>
      <c r="E30">
        <v>355</v>
      </c>
      <c r="F30">
        <v>14200</v>
      </c>
      <c r="G30" t="s">
        <v>17</v>
      </c>
      <c r="H30">
        <v>21</v>
      </c>
    </row>
    <row r="31" spans="1:8" x14ac:dyDescent="0.2">
      <c r="A31" t="s">
        <v>13</v>
      </c>
      <c r="B31" t="s">
        <v>10</v>
      </c>
      <c r="C31" t="s">
        <v>16</v>
      </c>
      <c r="D31">
        <v>37</v>
      </c>
      <c r="E31">
        <v>375</v>
      </c>
      <c r="F31">
        <v>13875</v>
      </c>
      <c r="G31" t="s">
        <v>17</v>
      </c>
      <c r="H31">
        <v>19</v>
      </c>
    </row>
    <row r="32" spans="1:8" x14ac:dyDescent="0.2">
      <c r="A32" t="s">
        <v>14</v>
      </c>
      <c r="B32" t="s">
        <v>5</v>
      </c>
      <c r="C32" t="s">
        <v>16</v>
      </c>
      <c r="D32">
        <v>48</v>
      </c>
      <c r="E32">
        <v>345</v>
      </c>
      <c r="F32">
        <v>16560</v>
      </c>
      <c r="G32" t="s">
        <v>17</v>
      </c>
      <c r="H32">
        <v>29</v>
      </c>
    </row>
    <row r="33" spans="1:8" x14ac:dyDescent="0.2">
      <c r="A33" t="s">
        <v>14</v>
      </c>
      <c r="B33" t="s">
        <v>8</v>
      </c>
      <c r="C33" t="s">
        <v>16</v>
      </c>
      <c r="D33">
        <v>43</v>
      </c>
      <c r="E33">
        <v>365</v>
      </c>
      <c r="F33">
        <v>15695</v>
      </c>
      <c r="G33" t="s">
        <v>17</v>
      </c>
      <c r="H33">
        <v>23</v>
      </c>
    </row>
    <row r="34" spans="1:8" x14ac:dyDescent="0.2">
      <c r="A34" t="s">
        <v>14</v>
      </c>
      <c r="B34" t="s">
        <v>10</v>
      </c>
      <c r="C34" t="s">
        <v>16</v>
      </c>
      <c r="D34">
        <v>40</v>
      </c>
      <c r="E34">
        <v>385</v>
      </c>
      <c r="F34">
        <v>15400</v>
      </c>
      <c r="G34" t="s">
        <v>17</v>
      </c>
      <c r="H34">
        <v>21</v>
      </c>
    </row>
    <row r="35" spans="1:8" x14ac:dyDescent="0.2">
      <c r="A35" t="s">
        <v>15</v>
      </c>
      <c r="B35" t="s">
        <v>5</v>
      </c>
      <c r="C35" t="s">
        <v>16</v>
      </c>
      <c r="D35">
        <v>52</v>
      </c>
      <c r="E35">
        <v>350</v>
      </c>
      <c r="F35">
        <v>18200</v>
      </c>
      <c r="G35" t="s">
        <v>17</v>
      </c>
      <c r="H35">
        <v>31</v>
      </c>
    </row>
    <row r="36" spans="1:8" x14ac:dyDescent="0.2">
      <c r="A36" t="s">
        <v>15</v>
      </c>
      <c r="B36" t="s">
        <v>8</v>
      </c>
      <c r="C36" t="s">
        <v>16</v>
      </c>
      <c r="D36">
        <v>45</v>
      </c>
      <c r="E36">
        <v>370</v>
      </c>
      <c r="F36">
        <v>16650</v>
      </c>
      <c r="G36" t="s">
        <v>17</v>
      </c>
      <c r="H36">
        <v>24</v>
      </c>
    </row>
    <row r="37" spans="1:8" x14ac:dyDescent="0.2">
      <c r="A37" t="s">
        <v>15</v>
      </c>
      <c r="B37" t="s">
        <v>10</v>
      </c>
      <c r="C37" t="s">
        <v>16</v>
      </c>
      <c r="D37">
        <v>42</v>
      </c>
      <c r="E37">
        <v>390</v>
      </c>
      <c r="F37">
        <v>16380</v>
      </c>
      <c r="G37" t="s">
        <v>17</v>
      </c>
      <c r="H37">
        <v>22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3B66-8043-1749-9451-4052B27D9C9F}">
  <dimension ref="A1:L44"/>
  <sheetViews>
    <sheetView workbookViewId="0">
      <selection activeCell="A25" sqref="A25:B32"/>
    </sheetView>
  </sheetViews>
  <sheetFormatPr baseColWidth="10" defaultRowHeight="21" x14ac:dyDescent="0.25"/>
  <cols>
    <col min="1" max="1" width="22.1640625" style="4" bestFit="1" customWidth="1"/>
    <col min="2" max="2" width="22.6640625" style="4" bestFit="1" customWidth="1"/>
    <col min="3" max="4" width="10.83203125" style="4"/>
    <col min="5" max="5" width="22.1640625" style="4" bestFit="1" customWidth="1"/>
    <col min="6" max="6" width="27.5" style="4" bestFit="1" customWidth="1"/>
    <col min="7" max="9" width="10.83203125" style="4"/>
    <col min="10" max="10" width="15.83203125" style="4" bestFit="1" customWidth="1"/>
    <col min="11" max="11" width="15.1640625" style="4" bestFit="1" customWidth="1"/>
    <col min="12" max="16384" width="10.83203125" style="4"/>
  </cols>
  <sheetData>
    <row r="1" spans="1:12" x14ac:dyDescent="0.25">
      <c r="A1" s="3" t="s">
        <v>23</v>
      </c>
      <c r="B1" s="4" t="s">
        <v>22</v>
      </c>
    </row>
    <row r="2" spans="1:12" x14ac:dyDescent="0.25">
      <c r="A2" s="5" t="s">
        <v>16</v>
      </c>
      <c r="B2" s="6">
        <v>746</v>
      </c>
      <c r="E2" s="3" t="s">
        <v>23</v>
      </c>
      <c r="F2" s="4" t="s">
        <v>22</v>
      </c>
    </row>
    <row r="3" spans="1:12" x14ac:dyDescent="0.25">
      <c r="A3" s="5" t="s">
        <v>6</v>
      </c>
      <c r="B3" s="6">
        <v>3345</v>
      </c>
      <c r="E3" s="5" t="s">
        <v>10</v>
      </c>
      <c r="F3" s="6">
        <v>209</v>
      </c>
    </row>
    <row r="4" spans="1:12" x14ac:dyDescent="0.25">
      <c r="A4" s="5" t="s">
        <v>24</v>
      </c>
      <c r="B4" s="6">
        <v>4091</v>
      </c>
      <c r="E4" s="7" t="s">
        <v>13</v>
      </c>
      <c r="F4" s="6">
        <v>209</v>
      </c>
    </row>
    <row r="5" spans="1:12" x14ac:dyDescent="0.25">
      <c r="E5" s="5" t="s">
        <v>5</v>
      </c>
      <c r="F5" s="6">
        <v>241</v>
      </c>
    </row>
    <row r="6" spans="1:12" x14ac:dyDescent="0.25">
      <c r="E6" s="7" t="s">
        <v>13</v>
      </c>
      <c r="F6" s="6">
        <v>241</v>
      </c>
    </row>
    <row r="7" spans="1:12" x14ac:dyDescent="0.25">
      <c r="A7" s="3" t="s">
        <v>23</v>
      </c>
      <c r="B7" s="4" t="s">
        <v>22</v>
      </c>
      <c r="E7" s="5" t="s">
        <v>8</v>
      </c>
      <c r="F7" s="6">
        <v>208</v>
      </c>
    </row>
    <row r="8" spans="1:12" x14ac:dyDescent="0.25">
      <c r="A8" s="5" t="s">
        <v>10</v>
      </c>
      <c r="B8" s="6">
        <v>1309</v>
      </c>
      <c r="E8" s="7" t="s">
        <v>13</v>
      </c>
      <c r="F8" s="6">
        <v>208</v>
      </c>
    </row>
    <row r="9" spans="1:12" x14ac:dyDescent="0.25">
      <c r="A9" s="5" t="s">
        <v>5</v>
      </c>
      <c r="B9" s="6">
        <v>1486</v>
      </c>
      <c r="E9" s="5" t="s">
        <v>24</v>
      </c>
      <c r="F9" s="6">
        <v>658</v>
      </c>
    </row>
    <row r="10" spans="1:12" x14ac:dyDescent="0.25">
      <c r="A10" s="5" t="s">
        <v>8</v>
      </c>
      <c r="B10" s="6">
        <v>1296</v>
      </c>
    </row>
    <row r="11" spans="1:12" x14ac:dyDescent="0.25">
      <c r="A11" s="5" t="s">
        <v>24</v>
      </c>
      <c r="B11" s="6">
        <v>4091</v>
      </c>
    </row>
    <row r="12" spans="1:12" x14ac:dyDescent="0.25">
      <c r="E12" s="3" t="s">
        <v>23</v>
      </c>
      <c r="F12" s="4" t="s">
        <v>32</v>
      </c>
    </row>
    <row r="13" spans="1:12" x14ac:dyDescent="0.25">
      <c r="E13" s="5" t="s">
        <v>4</v>
      </c>
      <c r="F13" s="6">
        <v>102000</v>
      </c>
    </row>
    <row r="14" spans="1:12" x14ac:dyDescent="0.25">
      <c r="A14" s="3" t="s">
        <v>23</v>
      </c>
      <c r="B14" s="4" t="s">
        <v>22</v>
      </c>
      <c r="E14" s="5" t="s">
        <v>11</v>
      </c>
      <c r="F14" s="6">
        <v>115955</v>
      </c>
    </row>
    <row r="15" spans="1:12" x14ac:dyDescent="0.25">
      <c r="A15" s="5" t="s">
        <v>4</v>
      </c>
      <c r="B15" s="6">
        <v>665</v>
      </c>
      <c r="E15" s="5" t="s">
        <v>12</v>
      </c>
      <c r="F15" s="6">
        <v>130890</v>
      </c>
    </row>
    <row r="16" spans="1:12" x14ac:dyDescent="0.25">
      <c r="A16" s="5" t="s">
        <v>11</v>
      </c>
      <c r="B16" s="6">
        <v>632</v>
      </c>
      <c r="E16" s="5" t="s">
        <v>13</v>
      </c>
      <c r="F16" s="6">
        <v>120485</v>
      </c>
      <c r="J16"/>
      <c r="K16"/>
      <c r="L16"/>
    </row>
    <row r="17" spans="1:12" x14ac:dyDescent="0.25">
      <c r="A17" s="5" t="s">
        <v>12</v>
      </c>
      <c r="B17" s="6">
        <v>706</v>
      </c>
      <c r="E17" s="5" t="s">
        <v>14</v>
      </c>
      <c r="F17" s="6">
        <v>131741</v>
      </c>
      <c r="J17"/>
      <c r="K17"/>
      <c r="L17"/>
    </row>
    <row r="18" spans="1:12" x14ac:dyDescent="0.25">
      <c r="A18" s="5" t="s">
        <v>13</v>
      </c>
      <c r="B18" s="6">
        <v>658</v>
      </c>
      <c r="E18" s="5" t="s">
        <v>15</v>
      </c>
      <c r="F18" s="6">
        <v>140640</v>
      </c>
      <c r="J18"/>
      <c r="K18"/>
      <c r="L18"/>
    </row>
    <row r="19" spans="1:12" x14ac:dyDescent="0.25">
      <c r="A19" s="5" t="s">
        <v>14</v>
      </c>
      <c r="B19" s="6">
        <v>699</v>
      </c>
      <c r="E19" s="5" t="s">
        <v>24</v>
      </c>
      <c r="F19" s="6">
        <v>741711</v>
      </c>
      <c r="J19"/>
      <c r="K19"/>
      <c r="L19"/>
    </row>
    <row r="20" spans="1:12" x14ac:dyDescent="0.25">
      <c r="A20" s="5" t="s">
        <v>15</v>
      </c>
      <c r="B20" s="6">
        <v>731</v>
      </c>
      <c r="J20"/>
      <c r="K20"/>
      <c r="L20"/>
    </row>
    <row r="21" spans="1:12" ht="26" x14ac:dyDescent="0.3">
      <c r="A21" s="5" t="s">
        <v>24</v>
      </c>
      <c r="B21" s="6">
        <v>4091</v>
      </c>
      <c r="D21" s="17"/>
      <c r="E21" s="17"/>
      <c r="F21" s="17"/>
      <c r="J21"/>
      <c r="K21"/>
      <c r="L21"/>
    </row>
    <row r="22" spans="1:12" ht="26" x14ac:dyDescent="0.3">
      <c r="D22" s="17"/>
      <c r="E22"/>
      <c r="F22"/>
      <c r="G22"/>
      <c r="J22"/>
      <c r="K22"/>
      <c r="L22"/>
    </row>
    <row r="23" spans="1:12" ht="26" x14ac:dyDescent="0.3">
      <c r="D23" s="17"/>
      <c r="E23"/>
      <c r="F23"/>
      <c r="G23"/>
      <c r="J23"/>
      <c r="K23"/>
      <c r="L23"/>
    </row>
    <row r="24" spans="1:12" ht="26" x14ac:dyDescent="0.3">
      <c r="D24" s="17"/>
      <c r="E24"/>
      <c r="F24"/>
      <c r="G24"/>
      <c r="J24"/>
      <c r="K24"/>
      <c r="L24"/>
    </row>
    <row r="25" spans="1:12" ht="26" x14ac:dyDescent="0.3">
      <c r="A25"/>
      <c r="B25"/>
      <c r="C25"/>
      <c r="D25" s="17"/>
      <c r="E25"/>
      <c r="F25"/>
      <c r="G25"/>
      <c r="J25"/>
      <c r="K25"/>
      <c r="L25"/>
    </row>
    <row r="26" spans="1:12" ht="26" x14ac:dyDescent="0.3">
      <c r="A26"/>
      <c r="B26"/>
      <c r="C26"/>
      <c r="D26" s="17"/>
      <c r="E26" s="17"/>
      <c r="F26" s="17"/>
      <c r="G26"/>
      <c r="J26"/>
      <c r="K26"/>
      <c r="L26"/>
    </row>
    <row r="27" spans="1:12" x14ac:dyDescent="0.25">
      <c r="A27"/>
      <c r="B27"/>
      <c r="C27"/>
      <c r="E27"/>
      <c r="F27"/>
      <c r="G27"/>
      <c r="J27"/>
      <c r="K27"/>
      <c r="L27"/>
    </row>
    <row r="28" spans="1:12" x14ac:dyDescent="0.25">
      <c r="A28"/>
      <c r="B28"/>
      <c r="C28"/>
      <c r="E28"/>
      <c r="F28"/>
      <c r="G28"/>
      <c r="J28"/>
      <c r="K28"/>
      <c r="L28"/>
    </row>
    <row r="29" spans="1:12" x14ac:dyDescent="0.25">
      <c r="A29"/>
      <c r="B29"/>
      <c r="C29"/>
      <c r="E29"/>
      <c r="F29"/>
      <c r="G29"/>
      <c r="J29"/>
      <c r="K29"/>
      <c r="L29"/>
    </row>
    <row r="30" spans="1:12" x14ac:dyDescent="0.25">
      <c r="A30"/>
      <c r="B30"/>
      <c r="C30"/>
      <c r="E30"/>
      <c r="F30"/>
      <c r="G30"/>
      <c r="J30"/>
      <c r="K30"/>
      <c r="L30"/>
    </row>
    <row r="31" spans="1:12" x14ac:dyDescent="0.25">
      <c r="A31"/>
      <c r="B31"/>
      <c r="C31"/>
      <c r="E31"/>
      <c r="F31"/>
      <c r="G31"/>
      <c r="J31"/>
      <c r="K31"/>
      <c r="L31"/>
    </row>
    <row r="32" spans="1:12" x14ac:dyDescent="0.25">
      <c r="A32"/>
      <c r="B32"/>
      <c r="C32"/>
      <c r="E32"/>
      <c r="F32"/>
      <c r="G32"/>
      <c r="J32"/>
      <c r="K32"/>
      <c r="L32"/>
    </row>
    <row r="33" spans="1:12" x14ac:dyDescent="0.25">
      <c r="A33"/>
      <c r="B33"/>
      <c r="C33"/>
      <c r="E33"/>
      <c r="F33"/>
      <c r="G33"/>
      <c r="J33"/>
      <c r="K33"/>
      <c r="L33"/>
    </row>
    <row r="34" spans="1:12" x14ac:dyDescent="0.25">
      <c r="A34"/>
      <c r="B34"/>
      <c r="C34"/>
      <c r="E34"/>
      <c r="F34"/>
      <c r="G34"/>
    </row>
    <row r="35" spans="1:12" x14ac:dyDescent="0.25">
      <c r="A35"/>
      <c r="B35"/>
      <c r="C35"/>
      <c r="E35"/>
      <c r="F35"/>
      <c r="G35"/>
    </row>
    <row r="36" spans="1:12" x14ac:dyDescent="0.25">
      <c r="A36"/>
      <c r="B36"/>
      <c r="C36"/>
      <c r="E36"/>
      <c r="F36"/>
      <c r="G36"/>
    </row>
    <row r="37" spans="1:12" x14ac:dyDescent="0.25">
      <c r="A37"/>
      <c r="B37"/>
      <c r="C37"/>
      <c r="E37"/>
      <c r="F37"/>
      <c r="G37"/>
    </row>
    <row r="38" spans="1:12" x14ac:dyDescent="0.25">
      <c r="A38"/>
      <c r="B38"/>
      <c r="C38"/>
      <c r="E38"/>
      <c r="F38"/>
      <c r="G38"/>
    </row>
    <row r="39" spans="1:12" x14ac:dyDescent="0.25">
      <c r="A39"/>
      <c r="B39"/>
      <c r="C39"/>
      <c r="E39"/>
      <c r="F39"/>
      <c r="G39"/>
    </row>
    <row r="40" spans="1:12" x14ac:dyDescent="0.25">
      <c r="A40"/>
      <c r="B40"/>
      <c r="C40"/>
      <c r="E40"/>
      <c r="F40"/>
      <c r="G40"/>
    </row>
    <row r="41" spans="1:12" x14ac:dyDescent="0.25">
      <c r="A41"/>
      <c r="B41"/>
      <c r="C41"/>
      <c r="E41"/>
      <c r="F41"/>
      <c r="G41"/>
    </row>
    <row r="42" spans="1:12" x14ac:dyDescent="0.25">
      <c r="A42"/>
      <c r="B42"/>
      <c r="C42"/>
      <c r="E42"/>
      <c r="F42"/>
      <c r="G42"/>
    </row>
    <row r="43" spans="1:12" x14ac:dyDescent="0.25">
      <c r="E43"/>
      <c r="F43"/>
      <c r="G43"/>
    </row>
    <row r="44" spans="1:12" x14ac:dyDescent="0.25">
      <c r="E44"/>
      <c r="F44"/>
      <c r="G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F638-2FA6-6744-ADD6-679142D8A798}">
  <dimension ref="A1"/>
  <sheetViews>
    <sheetView tabSelected="1" workbookViewId="0">
      <selection activeCell="V33" sqref="V3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Crudos</vt:lpstr>
      <vt:lpstr>Consignas</vt:lpstr>
      <vt:lpstr>Datos</vt:lpstr>
      <vt:lpstr>Tablas</vt:lpstr>
      <vt:lpstr>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Vasconi</cp:lastModifiedBy>
  <dcterms:created xsi:type="dcterms:W3CDTF">2026-03-13T17:32:11Z</dcterms:created>
  <dcterms:modified xsi:type="dcterms:W3CDTF">2026-03-13T22:56:21Z</dcterms:modified>
</cp:coreProperties>
</file>