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anielaarias/Library/Mobile Documents/com~apple~CloudDocs/2026/utnEstadistica/TUA/Excel clases/"/>
    </mc:Choice>
  </mc:AlternateContent>
  <xr:revisionPtr revIDLastSave="0" documentId="8_{CBF5BF76-705D-8945-B075-85F7F8210665}" xr6:coauthVersionLast="47" xr6:coauthVersionMax="47" xr10:uidLastSave="{00000000-0000-0000-0000-000000000000}"/>
  <bookViews>
    <workbookView xWindow="1580" yWindow="2000" windowWidth="26840" windowHeight="14220" xr2:uid="{2E869016-FB28-334C-96D0-47B9D73158F9}"/>
  </bookViews>
  <sheets>
    <sheet name="Datos Crudos" sheetId="1" r:id="rId1"/>
    <sheet name="Consign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K3" i="1"/>
</calcChain>
</file>

<file path=xl/sharedStrings.xml><?xml version="1.0" encoding="utf-8"?>
<sst xmlns="http://schemas.openxmlformats.org/spreadsheetml/2006/main" count="174" uniqueCount="34">
  <si>
    <t>Mes</t>
  </si>
  <si>
    <t>Ruta</t>
  </si>
  <si>
    <t>Clase</t>
  </si>
  <si>
    <t>Pasajeros</t>
  </si>
  <si>
    <t>Precio promedio en USD</t>
  </si>
  <si>
    <t>Ingresos USD</t>
  </si>
  <si>
    <t>Nivel de ocupación</t>
  </si>
  <si>
    <t>Cantidad de vuelos por mes</t>
  </si>
  <si>
    <t>Enero</t>
  </si>
  <si>
    <t>Buenos Aires - Córdoba</t>
  </si>
  <si>
    <t>Economy</t>
  </si>
  <si>
    <t>Alta</t>
  </si>
  <si>
    <t xml:space="preserve">Meses </t>
  </si>
  <si>
    <t>f</t>
  </si>
  <si>
    <t>F</t>
  </si>
  <si>
    <t>Buenos Aires - Mendoza</t>
  </si>
  <si>
    <t>Media</t>
  </si>
  <si>
    <t>Buenos Aires - Bariloche</t>
  </si>
  <si>
    <t>Febrero</t>
  </si>
  <si>
    <t>Business</t>
  </si>
  <si>
    <t>Marzo</t>
  </si>
  <si>
    <t>Total</t>
  </si>
  <si>
    <t>Abril</t>
  </si>
  <si>
    <t>Mayo</t>
  </si>
  <si>
    <t>Junio</t>
  </si>
  <si>
    <t>Baja</t>
  </si>
  <si>
    <t>Introducción al análisis descriptivo</t>
  </si>
  <si>
    <t>1)  Identificar las variables del dataset</t>
  </si>
  <si>
    <t>2) Clasificar las variables</t>
  </si>
  <si>
    <t>3) Armar tablas de Distribucion de Frecuencias  y graficos convenientes para responder las preguntas:</t>
  </si>
  <si>
    <r>
      <t xml:space="preserve">a) ¿Qué </t>
    </r>
    <r>
      <rPr>
        <b/>
        <sz val="18"/>
        <color theme="1"/>
        <rFont val="Calibri"/>
        <family val="2"/>
        <scheme val="minor"/>
      </rPr>
      <t>clase transporta más pasajeros</t>
    </r>
    <r>
      <rPr>
        <sz val="18"/>
        <color theme="1"/>
        <rFont val="Calibri"/>
        <family val="2"/>
        <scheme val="minor"/>
      </rPr>
      <t>?</t>
    </r>
  </si>
  <si>
    <r>
      <t xml:space="preserve">b)¿Cuál es la </t>
    </r>
    <r>
      <rPr>
        <b/>
        <sz val="18"/>
        <color theme="1"/>
        <rFont val="Calibri"/>
        <family val="2"/>
        <scheme val="minor"/>
      </rPr>
      <t xml:space="preserve">ruta con más pasajeros </t>
    </r>
    <r>
      <rPr>
        <sz val="18"/>
        <color theme="1"/>
        <rFont val="Calibri"/>
        <family val="2"/>
        <scheme val="minor"/>
      </rPr>
      <t>?</t>
    </r>
  </si>
  <si>
    <r>
      <t xml:space="preserve">c) ¿Qué </t>
    </r>
    <r>
      <rPr>
        <b/>
        <sz val="18"/>
        <color theme="1"/>
        <rFont val="Calibri"/>
        <family val="2"/>
        <scheme val="minor"/>
      </rPr>
      <t>mes tiene mayor ingreso total</t>
    </r>
    <r>
      <rPr>
        <sz val="18"/>
        <color theme="1"/>
        <rFont val="Calibri"/>
        <family val="2"/>
        <scheme val="minor"/>
      </rPr>
      <t>?</t>
    </r>
  </si>
  <si>
    <t>d) Cuáles son los destinos más frecuentes por mes?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</si>
</sst>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B245-C04B-7343-98AF-32435F64E091}">
  <dimension ref="A1:N37"/>
  <sheetViews>
    <sheetView tabSelected="1" workbookViewId="0">
      <selection activeCell="L12" sqref="L12"/>
    </sheetView>
  </sheetViews>
  <sheetFormatPr baseColWidth="10" defaultRowHeight="15" x14ac:dyDescent="0.2"/>
  <cols>
    <col min="4" max="4" width="10.6640625" customWidth="1"/>
    <col min="8" max="8" width="22" bestFit="1" customWidth="1"/>
  </cols>
  <sheetData>
    <row r="1" spans="1:14" ht="16" thickBot="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4" ht="16" thickBot="1" x14ac:dyDescent="0.25">
      <c r="A2" s="1" t="s">
        <v>8</v>
      </c>
      <c r="B2" s="1" t="s">
        <v>9</v>
      </c>
      <c r="C2" s="1" t="s">
        <v>10</v>
      </c>
      <c r="D2">
        <v>200</v>
      </c>
      <c r="E2" s="1">
        <v>120</v>
      </c>
      <c r="F2" s="1">
        <v>21600</v>
      </c>
      <c r="G2" s="1" t="s">
        <v>11</v>
      </c>
      <c r="H2" s="1">
        <v>25</v>
      </c>
      <c r="J2" s="2" t="s">
        <v>12</v>
      </c>
      <c r="K2" s="3" t="s">
        <v>13</v>
      </c>
      <c r="M2" s="4" t="s">
        <v>2</v>
      </c>
      <c r="N2" s="5" t="s">
        <v>14</v>
      </c>
    </row>
    <row r="3" spans="1:14" x14ac:dyDescent="0.2">
      <c r="A3" s="1" t="s">
        <v>8</v>
      </c>
      <c r="B3" s="1" t="s">
        <v>15</v>
      </c>
      <c r="C3" s="1" t="s">
        <v>10</v>
      </c>
      <c r="D3">
        <v>180</v>
      </c>
      <c r="E3" s="1">
        <v>140</v>
      </c>
      <c r="F3" s="1">
        <v>22400</v>
      </c>
      <c r="G3" s="1" t="s">
        <v>16</v>
      </c>
      <c r="H3" s="1">
        <v>20</v>
      </c>
      <c r="J3" s="6" t="s">
        <v>8</v>
      </c>
      <c r="K3" s="7">
        <f>SUMIF($A$2:$A$37, "Enero",$D$2:$D$37)</f>
        <v>665</v>
      </c>
      <c r="M3" s="6" t="s">
        <v>10</v>
      </c>
      <c r="N3" s="7">
        <f>SUMIF($C$2:$C$37,M3,$D$2:$D$37)</f>
        <v>3345</v>
      </c>
    </row>
    <row r="4" spans="1:14" x14ac:dyDescent="0.2">
      <c r="A4" s="1" t="s">
        <v>8</v>
      </c>
      <c r="B4" s="1" t="s">
        <v>17</v>
      </c>
      <c r="C4" s="1" t="s">
        <v>10</v>
      </c>
      <c r="D4">
        <v>180</v>
      </c>
      <c r="E4" s="1">
        <v>150</v>
      </c>
      <c r="F4" s="1">
        <v>22500</v>
      </c>
      <c r="G4" s="1" t="s">
        <v>16</v>
      </c>
      <c r="H4" s="1">
        <v>18</v>
      </c>
      <c r="J4" s="6" t="s">
        <v>18</v>
      </c>
      <c r="K4" s="7"/>
      <c r="M4" s="6" t="s">
        <v>19</v>
      </c>
      <c r="N4" s="7"/>
    </row>
    <row r="5" spans="1:14" ht="16" thickBot="1" x14ac:dyDescent="0.25">
      <c r="A5" s="1" t="s">
        <v>18</v>
      </c>
      <c r="B5" s="1" t="s">
        <v>9</v>
      </c>
      <c r="C5" s="1" t="s">
        <v>10</v>
      </c>
      <c r="D5">
        <v>180</v>
      </c>
      <c r="E5" s="1">
        <v>125</v>
      </c>
      <c r="F5" s="1">
        <v>25000</v>
      </c>
      <c r="G5" s="1" t="s">
        <v>11</v>
      </c>
      <c r="H5" s="1">
        <v>28</v>
      </c>
      <c r="J5" s="6" t="s">
        <v>20</v>
      </c>
      <c r="K5" s="7"/>
      <c r="M5" s="8" t="s">
        <v>21</v>
      </c>
      <c r="N5" s="9"/>
    </row>
    <row r="6" spans="1:14" x14ac:dyDescent="0.2">
      <c r="A6" s="1" t="s">
        <v>18</v>
      </c>
      <c r="B6" s="1" t="s">
        <v>15</v>
      </c>
      <c r="C6" s="1" t="s">
        <v>10</v>
      </c>
      <c r="D6">
        <v>170</v>
      </c>
      <c r="E6" s="1">
        <v>145</v>
      </c>
      <c r="F6" s="1">
        <v>24650</v>
      </c>
      <c r="G6" s="1" t="s">
        <v>16</v>
      </c>
      <c r="H6" s="1">
        <v>22</v>
      </c>
      <c r="J6" s="6" t="s">
        <v>22</v>
      </c>
      <c r="K6" s="7"/>
    </row>
    <row r="7" spans="1:14" x14ac:dyDescent="0.2">
      <c r="A7" s="1" t="s">
        <v>18</v>
      </c>
      <c r="B7" s="1" t="s">
        <v>17</v>
      </c>
      <c r="C7" s="1" t="s">
        <v>10</v>
      </c>
      <c r="D7">
        <v>165</v>
      </c>
      <c r="E7" s="1">
        <v>155</v>
      </c>
      <c r="F7" s="1">
        <v>25575</v>
      </c>
      <c r="G7" s="1" t="s">
        <v>16</v>
      </c>
      <c r="H7" s="1">
        <v>20</v>
      </c>
      <c r="J7" s="6" t="s">
        <v>23</v>
      </c>
      <c r="K7" s="7"/>
    </row>
    <row r="8" spans="1:14" x14ac:dyDescent="0.2">
      <c r="A8" s="1" t="s">
        <v>20</v>
      </c>
      <c r="B8" s="1" t="s">
        <v>9</v>
      </c>
      <c r="C8" s="1" t="s">
        <v>10</v>
      </c>
      <c r="D8">
        <v>210</v>
      </c>
      <c r="E8" s="1">
        <v>130</v>
      </c>
      <c r="F8" s="1">
        <v>27300</v>
      </c>
      <c r="G8" s="1" t="s">
        <v>11</v>
      </c>
      <c r="H8" s="1">
        <v>30</v>
      </c>
      <c r="J8" s="6" t="s">
        <v>24</v>
      </c>
      <c r="K8" s="7"/>
    </row>
    <row r="9" spans="1:14" ht="16" thickBot="1" x14ac:dyDescent="0.25">
      <c r="A9" s="1" t="s">
        <v>20</v>
      </c>
      <c r="B9" s="1" t="s">
        <v>15</v>
      </c>
      <c r="C9" s="1" t="s">
        <v>10</v>
      </c>
      <c r="D9">
        <v>175</v>
      </c>
      <c r="E9" s="1">
        <v>150</v>
      </c>
      <c r="F9" s="1">
        <v>26250</v>
      </c>
      <c r="G9" s="1" t="s">
        <v>16</v>
      </c>
      <c r="H9" s="1">
        <v>24</v>
      </c>
      <c r="J9" s="8" t="s">
        <v>21</v>
      </c>
      <c r="K9" s="9"/>
    </row>
    <row r="10" spans="1:14" x14ac:dyDescent="0.2">
      <c r="A10" s="1" t="s">
        <v>20</v>
      </c>
      <c r="B10" s="1" t="s">
        <v>17</v>
      </c>
      <c r="C10" s="1" t="s">
        <v>10</v>
      </c>
      <c r="D10">
        <v>190</v>
      </c>
      <c r="E10" s="1">
        <v>160</v>
      </c>
      <c r="F10" s="1">
        <v>30400</v>
      </c>
      <c r="G10" s="1" t="s">
        <v>11</v>
      </c>
      <c r="H10" s="1">
        <v>22</v>
      </c>
    </row>
    <row r="11" spans="1:14" x14ac:dyDescent="0.2">
      <c r="A11" s="1" t="s">
        <v>22</v>
      </c>
      <c r="B11" s="1" t="s">
        <v>9</v>
      </c>
      <c r="C11" s="1" t="s">
        <v>10</v>
      </c>
      <c r="D11">
        <v>195</v>
      </c>
      <c r="E11" s="1">
        <v>128</v>
      </c>
      <c r="F11" s="1">
        <v>24960</v>
      </c>
      <c r="G11" s="1" t="s">
        <v>11</v>
      </c>
      <c r="H11" s="1">
        <v>27</v>
      </c>
    </row>
    <row r="12" spans="1:14" x14ac:dyDescent="0.2">
      <c r="A12" s="1" t="s">
        <v>22</v>
      </c>
      <c r="B12" s="1" t="s">
        <v>15</v>
      </c>
      <c r="C12" s="1" t="s">
        <v>10</v>
      </c>
      <c r="D12">
        <v>168</v>
      </c>
      <c r="E12" s="1">
        <v>148</v>
      </c>
      <c r="F12" s="1">
        <v>24864</v>
      </c>
      <c r="G12" s="1" t="s">
        <v>16</v>
      </c>
      <c r="H12" s="1">
        <v>21</v>
      </c>
    </row>
    <row r="13" spans="1:14" x14ac:dyDescent="0.2">
      <c r="A13" s="1" t="s">
        <v>22</v>
      </c>
      <c r="B13" s="1" t="s">
        <v>17</v>
      </c>
      <c r="C13" s="1" t="s">
        <v>10</v>
      </c>
      <c r="D13">
        <v>172</v>
      </c>
      <c r="E13" s="1">
        <v>158</v>
      </c>
      <c r="F13" s="1">
        <v>27176</v>
      </c>
      <c r="G13" s="1" t="s">
        <v>16</v>
      </c>
      <c r="H13" s="1">
        <v>19</v>
      </c>
    </row>
    <row r="14" spans="1:14" x14ac:dyDescent="0.2">
      <c r="A14" s="1" t="s">
        <v>23</v>
      </c>
      <c r="B14" s="1" t="s">
        <v>9</v>
      </c>
      <c r="C14" s="1" t="s">
        <v>10</v>
      </c>
      <c r="D14">
        <v>205</v>
      </c>
      <c r="E14" s="1">
        <v>132</v>
      </c>
      <c r="F14" s="1">
        <v>27060</v>
      </c>
      <c r="G14" s="1" t="s">
        <v>11</v>
      </c>
      <c r="H14" s="1">
        <v>29</v>
      </c>
    </row>
    <row r="15" spans="1:14" x14ac:dyDescent="0.2">
      <c r="A15" s="1" t="s">
        <v>23</v>
      </c>
      <c r="B15" s="1" t="s">
        <v>15</v>
      </c>
      <c r="C15" s="1" t="s">
        <v>10</v>
      </c>
      <c r="D15">
        <v>178</v>
      </c>
      <c r="E15" s="1">
        <v>152</v>
      </c>
      <c r="F15" s="1">
        <v>27056</v>
      </c>
      <c r="G15" s="1" t="s">
        <v>16</v>
      </c>
      <c r="H15" s="1">
        <v>23</v>
      </c>
    </row>
    <row r="16" spans="1:14" x14ac:dyDescent="0.2">
      <c r="A16" s="1" t="s">
        <v>23</v>
      </c>
      <c r="B16" s="1" t="s">
        <v>17</v>
      </c>
      <c r="C16" s="1" t="s">
        <v>10</v>
      </c>
      <c r="D16">
        <v>185</v>
      </c>
      <c r="E16" s="1">
        <v>162</v>
      </c>
      <c r="F16" s="1">
        <v>29970</v>
      </c>
      <c r="G16" s="1" t="s">
        <v>11</v>
      </c>
      <c r="H16" s="1">
        <v>21</v>
      </c>
    </row>
    <row r="17" spans="1:8" x14ac:dyDescent="0.2">
      <c r="A17" s="1" t="s">
        <v>24</v>
      </c>
      <c r="B17" s="1" t="s">
        <v>9</v>
      </c>
      <c r="C17" s="1" t="s">
        <v>10</v>
      </c>
      <c r="D17">
        <v>215</v>
      </c>
      <c r="E17" s="1">
        <v>135</v>
      </c>
      <c r="F17" s="1">
        <v>29025</v>
      </c>
      <c r="G17" s="1" t="s">
        <v>11</v>
      </c>
      <c r="H17" s="1">
        <v>31</v>
      </c>
    </row>
    <row r="18" spans="1:8" x14ac:dyDescent="0.2">
      <c r="A18" s="1" t="s">
        <v>24</v>
      </c>
      <c r="B18" s="1" t="s">
        <v>15</v>
      </c>
      <c r="C18" s="1" t="s">
        <v>10</v>
      </c>
      <c r="D18">
        <v>182</v>
      </c>
      <c r="E18" s="1">
        <v>155</v>
      </c>
      <c r="F18" s="1">
        <v>28210</v>
      </c>
      <c r="G18" s="1" t="s">
        <v>11</v>
      </c>
      <c r="H18" s="1">
        <v>24</v>
      </c>
    </row>
    <row r="19" spans="1:8" x14ac:dyDescent="0.2">
      <c r="A19" s="1" t="s">
        <v>24</v>
      </c>
      <c r="B19" s="1" t="s">
        <v>17</v>
      </c>
      <c r="C19" s="1" t="s">
        <v>10</v>
      </c>
      <c r="D19">
        <v>195</v>
      </c>
      <c r="E19" s="1">
        <v>165</v>
      </c>
      <c r="F19" s="1">
        <v>32175</v>
      </c>
      <c r="G19" s="1" t="s">
        <v>11</v>
      </c>
      <c r="H19" s="1">
        <v>22</v>
      </c>
    </row>
    <row r="20" spans="1:8" x14ac:dyDescent="0.2">
      <c r="A20" s="1" t="s">
        <v>8</v>
      </c>
      <c r="B20" s="1" t="s">
        <v>9</v>
      </c>
      <c r="C20" s="1" t="s">
        <v>19</v>
      </c>
      <c r="D20">
        <v>40</v>
      </c>
      <c r="E20" s="1">
        <v>320</v>
      </c>
      <c r="F20" s="1">
        <v>12800</v>
      </c>
      <c r="G20" s="1" t="s">
        <v>25</v>
      </c>
      <c r="H20" s="1">
        <v>25</v>
      </c>
    </row>
    <row r="21" spans="1:8" x14ac:dyDescent="0.2">
      <c r="A21" s="1" t="s">
        <v>8</v>
      </c>
      <c r="B21" s="1" t="s">
        <v>15</v>
      </c>
      <c r="C21" s="1" t="s">
        <v>19</v>
      </c>
      <c r="D21">
        <v>35</v>
      </c>
      <c r="E21" s="1">
        <v>340</v>
      </c>
      <c r="F21" s="1">
        <v>11900</v>
      </c>
      <c r="G21" s="1" t="s">
        <v>25</v>
      </c>
      <c r="H21" s="1">
        <v>20</v>
      </c>
    </row>
    <row r="22" spans="1:8" x14ac:dyDescent="0.2">
      <c r="A22" s="1" t="s">
        <v>8</v>
      </c>
      <c r="B22" s="1" t="s">
        <v>17</v>
      </c>
      <c r="C22" s="1" t="s">
        <v>19</v>
      </c>
      <c r="D22">
        <v>30</v>
      </c>
      <c r="E22" s="1">
        <v>360</v>
      </c>
      <c r="F22" s="1">
        <v>10800</v>
      </c>
      <c r="G22" s="1" t="s">
        <v>25</v>
      </c>
      <c r="H22" s="1">
        <v>18</v>
      </c>
    </row>
    <row r="23" spans="1:8" x14ac:dyDescent="0.2">
      <c r="A23" s="1" t="s">
        <v>18</v>
      </c>
      <c r="B23" s="1" t="s">
        <v>9</v>
      </c>
      <c r="C23" s="1" t="s">
        <v>19</v>
      </c>
      <c r="D23">
        <v>45</v>
      </c>
      <c r="E23" s="1">
        <v>330</v>
      </c>
      <c r="F23" s="1">
        <v>14850</v>
      </c>
      <c r="G23" s="1" t="s">
        <v>25</v>
      </c>
      <c r="H23" s="1">
        <v>28</v>
      </c>
    </row>
    <row r="24" spans="1:8" x14ac:dyDescent="0.2">
      <c r="A24" s="1" t="s">
        <v>18</v>
      </c>
      <c r="B24" s="1" t="s">
        <v>15</v>
      </c>
      <c r="C24" s="1" t="s">
        <v>19</v>
      </c>
      <c r="D24">
        <v>38</v>
      </c>
      <c r="E24" s="1">
        <v>350</v>
      </c>
      <c r="F24" s="1">
        <v>13300</v>
      </c>
      <c r="G24" s="1" t="s">
        <v>25</v>
      </c>
      <c r="H24" s="1">
        <v>22</v>
      </c>
    </row>
    <row r="25" spans="1:8" x14ac:dyDescent="0.2">
      <c r="A25" s="1" t="s">
        <v>18</v>
      </c>
      <c r="B25" s="1" t="s">
        <v>17</v>
      </c>
      <c r="C25" s="1" t="s">
        <v>19</v>
      </c>
      <c r="D25">
        <v>34</v>
      </c>
      <c r="E25" s="1">
        <v>370</v>
      </c>
      <c r="F25" s="1">
        <v>12580</v>
      </c>
      <c r="G25" s="1" t="s">
        <v>25</v>
      </c>
      <c r="H25" s="1">
        <v>20</v>
      </c>
    </row>
    <row r="26" spans="1:8" x14ac:dyDescent="0.2">
      <c r="A26" s="1" t="s">
        <v>20</v>
      </c>
      <c r="B26" s="1" t="s">
        <v>9</v>
      </c>
      <c r="C26" s="1" t="s">
        <v>19</v>
      </c>
      <c r="D26">
        <v>50</v>
      </c>
      <c r="E26" s="1">
        <v>340</v>
      </c>
      <c r="F26" s="1">
        <v>17000</v>
      </c>
      <c r="G26" s="1" t="s">
        <v>25</v>
      </c>
      <c r="H26" s="1">
        <v>30</v>
      </c>
    </row>
    <row r="27" spans="1:8" x14ac:dyDescent="0.2">
      <c r="A27" s="1" t="s">
        <v>20</v>
      </c>
      <c r="B27" s="1" t="s">
        <v>15</v>
      </c>
      <c r="C27" s="1" t="s">
        <v>19</v>
      </c>
      <c r="D27">
        <v>42</v>
      </c>
      <c r="E27" s="1">
        <v>360</v>
      </c>
      <c r="F27" s="1">
        <v>15120</v>
      </c>
      <c r="G27" s="1" t="s">
        <v>25</v>
      </c>
      <c r="H27" s="1">
        <v>24</v>
      </c>
    </row>
    <row r="28" spans="1:8" x14ac:dyDescent="0.2">
      <c r="A28" s="1" t="s">
        <v>20</v>
      </c>
      <c r="B28" s="1" t="s">
        <v>17</v>
      </c>
      <c r="C28" s="1" t="s">
        <v>19</v>
      </c>
      <c r="D28">
        <v>39</v>
      </c>
      <c r="E28" s="1">
        <v>380</v>
      </c>
      <c r="F28" s="1">
        <v>14820</v>
      </c>
      <c r="G28" s="1" t="s">
        <v>25</v>
      </c>
      <c r="H28" s="1">
        <v>22</v>
      </c>
    </row>
    <row r="29" spans="1:8" x14ac:dyDescent="0.2">
      <c r="A29" s="1" t="s">
        <v>22</v>
      </c>
      <c r="B29" s="1" t="s">
        <v>9</v>
      </c>
      <c r="C29" s="1" t="s">
        <v>19</v>
      </c>
      <c r="D29">
        <v>46</v>
      </c>
      <c r="E29" s="1">
        <v>335</v>
      </c>
      <c r="F29" s="1">
        <v>15410</v>
      </c>
      <c r="G29" s="1" t="s">
        <v>25</v>
      </c>
      <c r="H29" s="1">
        <v>27</v>
      </c>
    </row>
    <row r="30" spans="1:8" x14ac:dyDescent="0.2">
      <c r="A30" s="1" t="s">
        <v>22</v>
      </c>
      <c r="B30" s="1" t="s">
        <v>15</v>
      </c>
      <c r="C30" s="1" t="s">
        <v>19</v>
      </c>
      <c r="D30">
        <v>40</v>
      </c>
      <c r="E30" s="1">
        <v>355</v>
      </c>
      <c r="F30" s="1">
        <v>14200</v>
      </c>
      <c r="G30" s="1" t="s">
        <v>25</v>
      </c>
      <c r="H30" s="1">
        <v>21</v>
      </c>
    </row>
    <row r="31" spans="1:8" x14ac:dyDescent="0.2">
      <c r="A31" s="1" t="s">
        <v>22</v>
      </c>
      <c r="B31" s="1" t="s">
        <v>17</v>
      </c>
      <c r="C31" s="1" t="s">
        <v>19</v>
      </c>
      <c r="D31">
        <v>37</v>
      </c>
      <c r="E31" s="1">
        <v>375</v>
      </c>
      <c r="F31" s="1">
        <v>13875</v>
      </c>
      <c r="G31" s="1" t="s">
        <v>25</v>
      </c>
      <c r="H31" s="1">
        <v>19</v>
      </c>
    </row>
    <row r="32" spans="1:8" x14ac:dyDescent="0.2">
      <c r="A32" s="1" t="s">
        <v>23</v>
      </c>
      <c r="B32" s="1" t="s">
        <v>9</v>
      </c>
      <c r="C32" s="1" t="s">
        <v>19</v>
      </c>
      <c r="D32">
        <v>48</v>
      </c>
      <c r="E32" s="1">
        <v>345</v>
      </c>
      <c r="F32" s="1">
        <v>16560</v>
      </c>
      <c r="G32" s="1" t="s">
        <v>25</v>
      </c>
      <c r="H32" s="1">
        <v>29</v>
      </c>
    </row>
    <row r="33" spans="1:8" x14ac:dyDescent="0.2">
      <c r="A33" s="1" t="s">
        <v>23</v>
      </c>
      <c r="B33" s="1" t="s">
        <v>15</v>
      </c>
      <c r="C33" s="1" t="s">
        <v>19</v>
      </c>
      <c r="D33">
        <v>43</v>
      </c>
      <c r="E33" s="1">
        <v>365</v>
      </c>
      <c r="F33" s="1">
        <v>15695</v>
      </c>
      <c r="G33" s="1" t="s">
        <v>25</v>
      </c>
      <c r="H33" s="1">
        <v>23</v>
      </c>
    </row>
    <row r="34" spans="1:8" x14ac:dyDescent="0.2">
      <c r="A34" s="1" t="s">
        <v>23</v>
      </c>
      <c r="B34" s="1" t="s">
        <v>17</v>
      </c>
      <c r="C34" s="1" t="s">
        <v>19</v>
      </c>
      <c r="D34">
        <v>40</v>
      </c>
      <c r="E34" s="1">
        <v>385</v>
      </c>
      <c r="F34" s="1">
        <v>15400</v>
      </c>
      <c r="G34" s="1" t="s">
        <v>25</v>
      </c>
      <c r="H34" s="1">
        <v>21</v>
      </c>
    </row>
    <row r="35" spans="1:8" x14ac:dyDescent="0.2">
      <c r="A35" s="1" t="s">
        <v>24</v>
      </c>
      <c r="B35" s="1" t="s">
        <v>9</v>
      </c>
      <c r="C35" s="1" t="s">
        <v>19</v>
      </c>
      <c r="D35">
        <v>52</v>
      </c>
      <c r="E35" s="1">
        <v>350</v>
      </c>
      <c r="F35" s="1">
        <v>18200</v>
      </c>
      <c r="G35" s="1" t="s">
        <v>25</v>
      </c>
      <c r="H35" s="1">
        <v>31</v>
      </c>
    </row>
    <row r="36" spans="1:8" x14ac:dyDescent="0.2">
      <c r="A36" s="1" t="s">
        <v>24</v>
      </c>
      <c r="B36" s="1" t="s">
        <v>15</v>
      </c>
      <c r="C36" s="1" t="s">
        <v>19</v>
      </c>
      <c r="D36">
        <v>45</v>
      </c>
      <c r="E36" s="1">
        <v>370</v>
      </c>
      <c r="F36" s="1">
        <v>16650</v>
      </c>
      <c r="G36" s="1" t="s">
        <v>25</v>
      </c>
      <c r="H36" s="1">
        <v>24</v>
      </c>
    </row>
    <row r="37" spans="1:8" x14ac:dyDescent="0.2">
      <c r="A37" s="1" t="s">
        <v>24</v>
      </c>
      <c r="B37" s="1" t="s">
        <v>17</v>
      </c>
      <c r="C37" s="1" t="s">
        <v>19</v>
      </c>
      <c r="D37">
        <v>42</v>
      </c>
      <c r="E37" s="1">
        <v>390</v>
      </c>
      <c r="F37" s="1">
        <v>16380</v>
      </c>
      <c r="G37" s="1" t="s">
        <v>25</v>
      </c>
      <c r="H37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F060-749E-3E45-B3CC-830BA028A683}">
  <dimension ref="A3:A11"/>
  <sheetViews>
    <sheetView topLeftCell="A2" workbookViewId="0">
      <selection activeCell="K27" sqref="K27"/>
    </sheetView>
  </sheetViews>
  <sheetFormatPr baseColWidth="10" defaultRowHeight="15" x14ac:dyDescent="0.2"/>
  <cols>
    <col min="1" max="1" width="42.5" bestFit="1" customWidth="1"/>
  </cols>
  <sheetData>
    <row r="3" spans="1:1" ht="24" x14ac:dyDescent="0.3">
      <c r="A3" s="10" t="s">
        <v>26</v>
      </c>
    </row>
    <row r="4" spans="1:1" ht="24" x14ac:dyDescent="0.3">
      <c r="A4" s="11" t="s">
        <v>27</v>
      </c>
    </row>
    <row r="5" spans="1:1" ht="24" x14ac:dyDescent="0.3">
      <c r="A5" s="11" t="s">
        <v>28</v>
      </c>
    </row>
    <row r="6" spans="1:1" ht="24" x14ac:dyDescent="0.3">
      <c r="A6" s="11" t="s">
        <v>29</v>
      </c>
    </row>
    <row r="7" spans="1:1" ht="24" x14ac:dyDescent="0.3">
      <c r="A7" s="11"/>
    </row>
    <row r="8" spans="1:1" ht="24" x14ac:dyDescent="0.3">
      <c r="A8" s="11" t="s">
        <v>30</v>
      </c>
    </row>
    <row r="9" spans="1:1" ht="24" x14ac:dyDescent="0.3">
      <c r="A9" s="11" t="s">
        <v>31</v>
      </c>
    </row>
    <row r="10" spans="1:1" ht="24" x14ac:dyDescent="0.3">
      <c r="A10" s="11" t="s">
        <v>32</v>
      </c>
    </row>
    <row r="11" spans="1:1" ht="24" x14ac:dyDescent="0.3">
      <c r="A11" s="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Crudos</vt:lpstr>
      <vt:lpstr>Consignas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Vasconi</dc:creator>
  <cp:lastModifiedBy>Nicolás Vasconi</cp:lastModifiedBy>
  <dcterms:created xsi:type="dcterms:W3CDTF">2026-03-13T19:32:02Z</dcterms:created>
  <dcterms:modified xsi:type="dcterms:W3CDTF">2026-03-13T19:32:56Z</dcterms:modified>
</cp:coreProperties>
</file>